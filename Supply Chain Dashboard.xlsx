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Ex5.xml" ContentType="application/vnd.ms-office.chartex+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Ex6.xml" ContentType="application/vnd.ms-office.chartex+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slicers/slicer5.xml" ContentType="application/vnd.ms-excel.slicer+xml"/>
  <Override PartName="/xl/charts/chart16.xml" ContentType="application/vnd.openxmlformats-officedocument.drawingml.chart+xml"/>
  <Override PartName="/xl/charts/style21.xml" ContentType="application/vnd.ms-office.chartstyle+xml"/>
  <Override PartName="/xl/charts/colors21.xml" ContentType="application/vnd.ms-office.chartcolorstyle+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slicers/slicer6.xml" ContentType="application/vnd.ms-excel.slicer+xml"/>
  <Override PartName="/xl/charts/chart19.xml" ContentType="application/vnd.openxmlformats-officedocument.drawingml.chart+xml"/>
  <Override PartName="/xl/charts/style24.xml" ContentType="application/vnd.ms-office.chartstyle+xml"/>
  <Override PartName="/xl/charts/colors24.xml" ContentType="application/vnd.ms-office.chartcolorstyle+xml"/>
  <Override PartName="/xl/charts/chart20.xml" ContentType="application/vnd.openxmlformats-officedocument.drawingml.chart+xml"/>
  <Override PartName="/xl/charts/style25.xml" ContentType="application/vnd.ms-office.chartstyle+xml"/>
  <Override PartName="/xl/charts/colors25.xml" ContentType="application/vnd.ms-office.chartcolorstyle+xml"/>
  <Override PartName="/xl/charts/chart21.xml" ContentType="application/vnd.openxmlformats-officedocument.drawingml.chart+xml"/>
  <Override PartName="/xl/charts/style26.xml" ContentType="application/vnd.ms-office.chartstyle+xml"/>
  <Override PartName="/xl/charts/colors26.xml" ContentType="application/vnd.ms-office.chartcolorstyle+xml"/>
  <Override PartName="/xl/charts/chart22.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8.xml" ContentType="application/vnd.openxmlformats-officedocument.drawing+xml"/>
  <Override PartName="/xl/charts/chart23.xml" ContentType="application/vnd.openxmlformats-officedocument.drawingml.chart+xml"/>
  <Override PartName="/xl/charts/style28.xml" ContentType="application/vnd.ms-office.chartstyle+xml"/>
  <Override PartName="/xl/charts/colors28.xml" ContentType="application/vnd.ms-office.chartcolorstyle+xml"/>
  <Override PartName="/xl/charts/chart24.xml" ContentType="application/vnd.openxmlformats-officedocument.drawingml.chart+xml"/>
  <Override PartName="/xl/charts/style29.xml" ContentType="application/vnd.ms-office.chartstyle+xml"/>
  <Override PartName="/xl/charts/colors29.xml" ContentType="application/vnd.ms-office.chartcolorstyle+xml"/>
  <Override PartName="/xl/charts/chartEx7.xml" ContentType="application/vnd.ms-office.chartex+xml"/>
  <Override PartName="/xl/charts/style30.xml" ContentType="application/vnd.ms-office.chartstyle+xml"/>
  <Override PartName="/xl/charts/colors30.xml" ContentType="application/vnd.ms-office.chartcolorstyle+xml"/>
  <Override PartName="/xl/charts/chartEx8.xml" ContentType="application/vnd.ms-office.chartex+xml"/>
  <Override PartName="/xl/charts/style31.xml" ContentType="application/vnd.ms-office.chartstyle+xml"/>
  <Override PartName="/xl/charts/colors31.xml" ContentType="application/vnd.ms-office.chartcolorstyle+xml"/>
  <Override PartName="/xl/charts/chartEx9.xml" ContentType="application/vnd.ms-office.chartex+xml"/>
  <Override PartName="/xl/charts/style32.xml" ContentType="application/vnd.ms-office.chartstyle+xml"/>
  <Override PartName="/xl/charts/colors32.xml" ContentType="application/vnd.ms-office.chartcolorstyle+xml"/>
  <Override PartName="/xl/charts/chartEx10.xml" ContentType="application/vnd.ms-office.chartex+xml"/>
  <Override PartName="/xl/charts/style33.xml" ContentType="application/vnd.ms-office.chartstyle+xml"/>
  <Override PartName="/xl/charts/colors3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System_Data\Downloads\"/>
    </mc:Choice>
  </mc:AlternateContent>
  <xr:revisionPtr revIDLastSave="0" documentId="13_ncr:1_{B007B951-AF58-4D22-96D0-17928548A8DA}" xr6:coauthVersionLast="47" xr6:coauthVersionMax="47" xr10:uidLastSave="{00000000-0000-0000-0000-000000000000}"/>
  <bookViews>
    <workbookView xWindow="-120" yWindow="-120" windowWidth="24240" windowHeight="13140" tabRatio="895" firstSheet="4" activeTab="6" xr2:uid="{C1744918-2C2B-4B80-9EAB-88D80C0D2D5F}"/>
  </bookViews>
  <sheets>
    <sheet name="Supply_Chain_Data" sheetId="2" r:id="rId1"/>
    <sheet name="Supply_Chain_Data_Modified" sheetId="3" r:id="rId2"/>
    <sheet name="Product_Pivot" sheetId="8" r:id="rId3"/>
    <sheet name="Inventory_&amp;_Orders_Pivot" sheetId="10" r:id="rId4"/>
    <sheet name="Supplier_&amp;_Manufacturing_Pivot" sheetId="13" r:id="rId5"/>
    <sheet name="Supply_Chain_Pivot" sheetId="16" r:id="rId6"/>
    <sheet name="Product_Dashboard" sheetId="1" r:id="rId7"/>
    <sheet name="Inventory_Orders_Dashboard" sheetId="11" r:id="rId8"/>
    <sheet name="Supplier_Manufacturing_Dashboar" sheetId="14" r:id="rId9"/>
    <sheet name="Supply_Chain_Summary" sheetId="15" r:id="rId10"/>
  </sheets>
  <definedNames>
    <definedName name="_xlnm._FilterDatabase" localSheetId="3" hidden="1">'Inventory_&amp;_Orders_Pivot'!$Q$23:$T$26</definedName>
    <definedName name="_xlnm._FilterDatabase" localSheetId="5" hidden="1">Supply_Chain_Pivot!#REF!</definedName>
    <definedName name="_xlchart.v1.0" hidden="1">Product_Pivot!$D$32:$D$51</definedName>
    <definedName name="_xlchart.v1.1" hidden="1">Product_Pivot!$E$31</definedName>
    <definedName name="_xlchart.v1.10" hidden="1">Supply_Chain_Pivot!$G$44</definedName>
    <definedName name="_xlchart.v1.11" hidden="1">Supply_Chain_Pivot!$G$45:$G$64</definedName>
    <definedName name="_xlchart.v1.14" hidden="1">Supply_Chain_Pivot!$A$39:$E$39</definedName>
    <definedName name="_xlchart.v1.15" hidden="1">Supply_Chain_Pivot!$A$40:$E$40</definedName>
    <definedName name="_xlchart.v1.16" hidden="1">Product_Pivot!$D$32:$D$51</definedName>
    <definedName name="_xlchart.v1.17" hidden="1">Product_Pivot!$E$31</definedName>
    <definedName name="_xlchart.v1.18" hidden="1">Product_Pivot!$E$32:$E$51</definedName>
    <definedName name="_xlchart.v1.19" hidden="1">Supply_Chain_Pivot!$D$45:$D$64</definedName>
    <definedName name="_xlchart.v1.2" hidden="1">Product_Pivot!$E$32:$E$51</definedName>
    <definedName name="_xlchart.v1.20" hidden="1">Supply_Chain_Pivot!$E$44</definedName>
    <definedName name="_xlchart.v1.21" hidden="1">Supply_Chain_Pivot!$E$45:$E$64</definedName>
    <definedName name="_xlchart.v1.22" hidden="1">Supply_Chain_Pivot!$F$44</definedName>
    <definedName name="_xlchart.v1.23" hidden="1">Supply_Chain_Pivot!$F$45:$F$64</definedName>
    <definedName name="_xlchart.v1.24" hidden="1">Supply_Chain_Pivot!$G$44</definedName>
    <definedName name="_xlchart.v1.25" hidden="1">Supply_Chain_Pivot!$G$45:$G$64</definedName>
    <definedName name="_xlchart.v1.28" hidden="1">Supply_Chain_Pivot!$A$39:$E$39</definedName>
    <definedName name="_xlchart.v1.29" hidden="1">Supply_Chain_Pivot!$A$40:$E$40</definedName>
    <definedName name="_xlchart.v1.5" hidden="1">Supply_Chain_Pivot!$D$45:$D$64</definedName>
    <definedName name="_xlchart.v1.6" hidden="1">Supply_Chain_Pivot!$E$44</definedName>
    <definedName name="_xlchart.v1.7" hidden="1">Supply_Chain_Pivot!$E$45:$E$64</definedName>
    <definedName name="_xlchart.v1.8" hidden="1">Supply_Chain_Pivot!$F$44</definedName>
    <definedName name="_xlchart.v1.9" hidden="1">Supply_Chain_Pivot!$F$45:$F$64</definedName>
    <definedName name="_xlchart.v2.12" hidden="1">Supply_Chain_Pivot!$A$19:$C$19</definedName>
    <definedName name="_xlchart.v2.13" hidden="1">Supply_Chain_Pivot!$A$20:$C$20</definedName>
    <definedName name="_xlchart.v2.26" hidden="1">Supply_Chain_Pivot!$A$19:$C$19</definedName>
    <definedName name="_xlchart.v2.27" hidden="1">Supply_Chain_Pivot!$A$20:$C$20</definedName>
    <definedName name="_xlchart.v2.3" hidden="1">Supply_Chain_Pivot!$A$26:$C$26</definedName>
    <definedName name="_xlchart.v2.30" hidden="1">Supply_Chain_Pivot!$A$26:$C$26</definedName>
    <definedName name="_xlchart.v2.31" hidden="1">Supply_Chain_Pivot!$A$27:$C$27</definedName>
    <definedName name="_xlchart.v2.4" hidden="1">Supply_Chain_Pivot!$A$27:$C$27</definedName>
    <definedName name="ExternalData_1" localSheetId="0" hidden="1">Supply_Chain_Data!$A$1:$X$101</definedName>
    <definedName name="ExternalData_1" localSheetId="1" hidden="1">Supply_Chain_Data_Modified!$A$1:$X$101</definedName>
    <definedName name="Slicer_Customer_demographics1">#N/A</definedName>
    <definedName name="Slicer_Inspection_results1">#N/A</definedName>
    <definedName name="Slicer_Location1">#N/A</definedName>
    <definedName name="Slicer_Product_type1">#N/A</definedName>
    <definedName name="Slicer_Product_type2">#N/A</definedName>
    <definedName name="Slicer_Routes1">#N/A</definedName>
    <definedName name="Slicer_Shipping_carriers1">#N/A</definedName>
    <definedName name="Slicer_Supplier_name1">#N/A</definedName>
    <definedName name="Slicer_Transportation_modes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28" i="3" l="1"/>
  <c r="AC21" i="3"/>
  <c r="AC19" i="3"/>
  <c r="AC17" i="3"/>
  <c r="E46" i="16"/>
  <c r="F46" i="16" s="1"/>
  <c r="G46" i="16" s="1"/>
  <c r="E47" i="16"/>
  <c r="F47" i="16" s="1"/>
  <c r="G47" i="16" s="1"/>
  <c r="E48" i="16"/>
  <c r="F48" i="16" s="1"/>
  <c r="G48" i="16" s="1"/>
  <c r="E49" i="16"/>
  <c r="F49" i="16" s="1"/>
  <c r="G49" i="16" s="1"/>
  <c r="E50" i="16"/>
  <c r="F50" i="16" s="1"/>
  <c r="G50" i="16" s="1"/>
  <c r="E51" i="16"/>
  <c r="F51" i="16" s="1"/>
  <c r="G51" i="16" s="1"/>
  <c r="E52" i="16"/>
  <c r="F52" i="16" s="1"/>
  <c r="G52" i="16" s="1"/>
  <c r="E53" i="16"/>
  <c r="F53" i="16" s="1"/>
  <c r="G53" i="16" s="1"/>
  <c r="E54" i="16"/>
  <c r="F54" i="16" s="1"/>
  <c r="G54" i="16" s="1"/>
  <c r="E55" i="16"/>
  <c r="F55" i="16" s="1"/>
  <c r="G55" i="16" s="1"/>
  <c r="E56" i="16"/>
  <c r="F56" i="16" s="1"/>
  <c r="G56" i="16" s="1"/>
  <c r="E57" i="16"/>
  <c r="F57" i="16" s="1"/>
  <c r="G57" i="16" s="1"/>
  <c r="E58" i="16"/>
  <c r="F58" i="16" s="1"/>
  <c r="G58" i="16" s="1"/>
  <c r="E59" i="16"/>
  <c r="F59" i="16" s="1"/>
  <c r="G59" i="16" s="1"/>
  <c r="E60" i="16"/>
  <c r="F60" i="16" s="1"/>
  <c r="G60" i="16" s="1"/>
  <c r="E61" i="16"/>
  <c r="F61" i="16" s="1"/>
  <c r="G61" i="16" s="1"/>
  <c r="E62" i="16"/>
  <c r="F62" i="16" s="1"/>
  <c r="G62" i="16" s="1"/>
  <c r="E63" i="16"/>
  <c r="F63" i="16" s="1"/>
  <c r="G63" i="16" s="1"/>
  <c r="E64" i="16"/>
  <c r="F64" i="16" s="1"/>
  <c r="G64" i="16" s="1"/>
  <c r="E45" i="16"/>
  <c r="F45" i="16" s="1"/>
  <c r="G45" i="16" s="1"/>
  <c r="B3" i="16"/>
  <c r="A3" i="16"/>
  <c r="B8" i="16" s="1"/>
  <c r="AE5" i="3"/>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C20" i="3"/>
  <c r="AC18" i="3"/>
  <c r="AD8" i="3"/>
  <c r="AD5" i="3"/>
  <c r="AC16"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2" i="3"/>
  <c r="AF6" i="3"/>
  <c r="AE8" i="3"/>
  <c r="AE7" i="3"/>
  <c r="AC7" i="3"/>
  <c r="AD7" i="3"/>
  <c r="AE6" i="3"/>
  <c r="AD6" i="3"/>
  <c r="AC5"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E40" i="16"/>
  <c r="D40" i="16"/>
  <c r="C40" i="16"/>
  <c r="B40" i="16"/>
  <c r="A40" i="16"/>
  <c r="C20" i="16"/>
  <c r="B27" i="16"/>
  <c r="C27" i="16"/>
  <c r="B20" i="16"/>
  <c r="A27" i="16"/>
  <c r="A20" i="16"/>
  <c r="E45" i="8"/>
  <c r="E38" i="8"/>
  <c r="E44" i="8"/>
  <c r="E47" i="8"/>
  <c r="E33" i="8"/>
  <c r="E32" i="8"/>
  <c r="E49" i="8"/>
  <c r="E42" i="8"/>
  <c r="E35" i="8"/>
  <c r="E51" i="8"/>
  <c r="E37" i="8"/>
  <c r="E40" i="8"/>
  <c r="E46" i="8"/>
  <c r="E39" i="8"/>
  <c r="E36" i="8"/>
  <c r="E41" i="8"/>
  <c r="E34" i="8"/>
  <c r="E50" i="8"/>
  <c r="E43" i="8"/>
  <c r="E48" i="8"/>
  <c r="H18" i="10"/>
  <c r="H9" i="10"/>
  <c r="H22" i="10"/>
  <c r="H38" i="10"/>
  <c r="H54" i="10"/>
  <c r="H70" i="10"/>
  <c r="H86" i="10"/>
  <c r="H102" i="10"/>
  <c r="H19" i="10"/>
  <c r="H35" i="10"/>
  <c r="H51" i="10"/>
  <c r="H67" i="10"/>
  <c r="H83" i="10"/>
  <c r="H99" i="10"/>
  <c r="H16" i="10"/>
  <c r="H32" i="10"/>
  <c r="H48" i="10"/>
  <c r="H64" i="10"/>
  <c r="H80" i="10"/>
  <c r="H96" i="10"/>
  <c r="H17" i="10"/>
  <c r="H33" i="10"/>
  <c r="H49" i="10"/>
  <c r="H65" i="10"/>
  <c r="H81" i="10"/>
  <c r="H97" i="10"/>
  <c r="G9" i="10"/>
  <c r="G25" i="10"/>
  <c r="G41" i="10"/>
  <c r="G57" i="10"/>
  <c r="G73" i="10"/>
  <c r="G89" i="10"/>
  <c r="G105" i="10"/>
  <c r="G22" i="10"/>
  <c r="G86" i="10"/>
  <c r="G19" i="10"/>
  <c r="G35" i="10"/>
  <c r="G51" i="10"/>
  <c r="G67" i="10"/>
  <c r="G83" i="10"/>
  <c r="G99" i="10"/>
  <c r="G16" i="10"/>
  <c r="G32" i="10"/>
  <c r="G48" i="10"/>
  <c r="G64" i="10"/>
  <c r="G80" i="10"/>
  <c r="G96" i="10"/>
  <c r="G42" i="10"/>
  <c r="G58" i="10"/>
  <c r="G74" i="10"/>
  <c r="G94" i="10"/>
  <c r="H31" i="10"/>
  <c r="H76" i="10"/>
  <c r="H29" i="10"/>
  <c r="H77" i="10"/>
  <c r="G37" i="10"/>
  <c r="G85" i="10"/>
  <c r="G34" i="10"/>
  <c r="G47" i="10"/>
  <c r="G95" i="10"/>
  <c r="G76" i="10"/>
  <c r="G54" i="10"/>
  <c r="G8" i="10"/>
  <c r="H10" i="10"/>
  <c r="H26" i="10"/>
  <c r="H42" i="10"/>
  <c r="H58" i="10"/>
  <c r="H74" i="10"/>
  <c r="H90" i="10"/>
  <c r="H106" i="10"/>
  <c r="H23" i="10"/>
  <c r="H39" i="10"/>
  <c r="H55" i="10"/>
  <c r="H71" i="10"/>
  <c r="H87" i="10"/>
  <c r="H103" i="10"/>
  <c r="H20" i="10"/>
  <c r="H36" i="10"/>
  <c r="H52" i="10"/>
  <c r="H68" i="10"/>
  <c r="H84" i="10"/>
  <c r="H100" i="10"/>
  <c r="H21" i="10"/>
  <c r="H37" i="10"/>
  <c r="H53" i="10"/>
  <c r="H69" i="10"/>
  <c r="H85" i="10"/>
  <c r="H101" i="10"/>
  <c r="G13" i="10"/>
  <c r="G29" i="10"/>
  <c r="G45" i="10"/>
  <c r="G61" i="10"/>
  <c r="G77" i="10"/>
  <c r="G93" i="10"/>
  <c r="G10" i="10"/>
  <c r="G26" i="10"/>
  <c r="G102" i="10"/>
  <c r="G23" i="10"/>
  <c r="G39" i="10"/>
  <c r="G55" i="10"/>
  <c r="G71" i="10"/>
  <c r="G87" i="10"/>
  <c r="G103" i="10"/>
  <c r="G20" i="10"/>
  <c r="G36" i="10"/>
  <c r="G52" i="10"/>
  <c r="G68" i="10"/>
  <c r="G84" i="10"/>
  <c r="G100" i="10"/>
  <c r="G46" i="10"/>
  <c r="G62" i="10"/>
  <c r="G78" i="10"/>
  <c r="G98" i="10"/>
  <c r="H50" i="10"/>
  <c r="H66" i="10"/>
  <c r="H98" i="10"/>
  <c r="H47" i="10"/>
  <c r="H79" i="10"/>
  <c r="H12" i="10"/>
  <c r="H44" i="10"/>
  <c r="H92" i="10"/>
  <c r="H45" i="10"/>
  <c r="H8" i="10"/>
  <c r="G53" i="10"/>
  <c r="G101" i="10"/>
  <c r="G15" i="10"/>
  <c r="G63" i="10"/>
  <c r="G12" i="10"/>
  <c r="G44" i="10"/>
  <c r="G92" i="10"/>
  <c r="G70" i="10"/>
  <c r="H14" i="10"/>
  <c r="H30" i="10"/>
  <c r="H46" i="10"/>
  <c r="H62" i="10"/>
  <c r="H78" i="10"/>
  <c r="H94" i="10"/>
  <c r="H11" i="10"/>
  <c r="H27" i="10"/>
  <c r="H43" i="10"/>
  <c r="H59" i="10"/>
  <c r="H75" i="10"/>
  <c r="H91" i="10"/>
  <c r="H107" i="10"/>
  <c r="H24" i="10"/>
  <c r="H40" i="10"/>
  <c r="H56" i="10"/>
  <c r="H72" i="10"/>
  <c r="H88" i="10"/>
  <c r="H104" i="10"/>
  <c r="H25" i="10"/>
  <c r="H41" i="10"/>
  <c r="H57" i="10"/>
  <c r="H73" i="10"/>
  <c r="H89" i="10"/>
  <c r="H105" i="10"/>
  <c r="G17" i="10"/>
  <c r="G33" i="10"/>
  <c r="G49" i="10"/>
  <c r="G65" i="10"/>
  <c r="G81" i="10"/>
  <c r="G97" i="10"/>
  <c r="G14" i="10"/>
  <c r="G30" i="10"/>
  <c r="G11" i="10"/>
  <c r="G27" i="10"/>
  <c r="G43" i="10"/>
  <c r="G59" i="10"/>
  <c r="G75" i="10"/>
  <c r="G91" i="10"/>
  <c r="G107" i="10"/>
  <c r="G24" i="10"/>
  <c r="G40" i="10"/>
  <c r="G56" i="10"/>
  <c r="G72" i="10"/>
  <c r="G88" i="10"/>
  <c r="G104" i="10"/>
  <c r="G50" i="10"/>
  <c r="G66" i="10"/>
  <c r="G82" i="10"/>
  <c r="G106" i="10"/>
  <c r="H34" i="10"/>
  <c r="H82" i="10"/>
  <c r="H15" i="10"/>
  <c r="H63" i="10"/>
  <c r="H95" i="10"/>
  <c r="H28" i="10"/>
  <c r="H60" i="10"/>
  <c r="H13" i="10"/>
  <c r="H61" i="10"/>
  <c r="H93" i="10"/>
  <c r="G21" i="10"/>
  <c r="G69" i="10"/>
  <c r="G18" i="10"/>
  <c r="G31" i="10"/>
  <c r="G79" i="10"/>
  <c r="G28" i="10"/>
  <c r="G60" i="10"/>
  <c r="G38" i="10"/>
  <c r="G90" i="10"/>
  <c r="AC27" i="3" l="1"/>
  <c r="AC6" i="3"/>
  <c r="B7" i="16"/>
  <c r="B13" i="16"/>
  <c r="AF5" i="3"/>
  <c r="AC8" i="3"/>
  <c r="AC9" i="3" s="1"/>
  <c r="B12"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A2D8C5-FC30-44AF-B87D-EEC85BD895E4}" keepAlive="1" name="Query - supply_chain_data" description="Connection to the 'supply_chain_data' query in the workbook." type="5" refreshedVersion="8" background="1" saveData="1">
    <dbPr connection="Provider=Microsoft.Mashup.OleDb.1;Data Source=$Workbook$;Location=supply_chain_data;Extended Properties=&quot;&quot;" command="SELECT * FROM [supply_chain_data]"/>
  </connection>
  <connection id="2" xr16:uid="{1050BD86-FE64-41FF-A888-D7712BBC0415}" keepAlive="1" name="Query - supply_chain_data (2)" description="Connection to the 'supply_chain_data (2)' query in the workbook." type="5" refreshedVersion="8" background="1" saveData="1">
    <dbPr connection="Provider=Microsoft.Mashup.OleDb.1;Data Source=$Workbook$;Location=&quot;supply_chain_data (2)&quot;;Extended Properties=&quot;&quot;" command="SELECT * FROM [supply_chain_data (2)]"/>
  </connection>
</connections>
</file>

<file path=xl/sharedStrings.xml><?xml version="1.0" encoding="utf-8"?>
<sst xmlns="http://schemas.openxmlformats.org/spreadsheetml/2006/main" count="2326" uniqueCount="220">
  <si>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</si>
  <si>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</si>
  <si>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</si>
  <si>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</si>
  <si>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</si>
  <si>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</si>
  <si>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</si>
  <si>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</si>
  <si>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</si>
  <si>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</si>
  <si>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</si>
  <si>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</si>
  <si>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</si>
  <si>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</si>
  <si>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</si>
  <si>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</si>
  <si>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</si>
  <si>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</si>
  <si>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</si>
  <si>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</si>
  <si>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</si>
  <si>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</si>
  <si>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</si>
  <si>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</si>
  <si>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</si>
  <si>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</si>
  <si>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</si>
  <si>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</si>
  <si>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</si>
  <si>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</si>
  <si>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</si>
  <si>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</si>
  <si>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</si>
  <si>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</si>
  <si>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</si>
  <si>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</si>
  <si>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</si>
  <si>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</si>
  <si>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</si>
  <si>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</si>
  <si>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</si>
  <si>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</si>
  <si>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</si>
  <si>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</si>
  <si>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</si>
  <si>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</si>
  <si>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</si>
  <si>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</si>
  <si>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</si>
  <si>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</si>
  <si>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</si>
  <si>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</si>
  <si>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</si>
  <si>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</si>
  <si>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</si>
  <si>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</si>
  <si>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</si>
  <si>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</si>
  <si>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</si>
  <si>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</si>
  <si>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</si>
  <si>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</si>
  <si>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</si>
  <si>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</si>
  <si>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</si>
  <si>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</si>
  <si>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</si>
  <si>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</si>
  <si>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</si>
  <si>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</si>
  <si>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</si>
  <si>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</si>
  <si>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</si>
  <si>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</si>
  <si>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</si>
  <si>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</si>
  <si>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</si>
  <si>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</si>
  <si>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</si>
  <si>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</si>
  <si>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</si>
  <si>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</si>
  <si>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</si>
  <si>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</si>
  <si>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</si>
  <si>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</si>
  <si>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</si>
  <si>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</si>
  <si>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</si>
  <si>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</si>
  <si>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</si>
  <si>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</si>
  <si>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</si>
  <si>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</si>
  <si>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</si>
  <si>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</si>
  <si>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</si>
  <si>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</si>
  <si>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</si>
  <si>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</si>
  <si>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</si>
  <si>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</si>
  <si>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</si>
  <si>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</si>
  <si>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</si>
  <si>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</si>
  <si>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</si>
  <si>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</si>
  <si>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</si>
  <si>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</si>
  <si>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</si>
  <si>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</si>
  <si>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</si>
  <si>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</si>
  <si>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</si>
  <si>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</si>
  <si>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</si>
  <si>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</si>
  <si>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</si>
  <si>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</si>
  <si>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</si>
  <si>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</si>
  <si>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</si>
  <si>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</si>
  <si>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</si>
  <si>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</si>
  <si>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</si>
  <si>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</si>
  <si>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</si>
  <si>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</si>
  <si>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</si>
  <si>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</si>
  <si>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</si>
  <si>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</si>
  <si>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</si>
  <si>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</si>
  <si>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</si>
  <si>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</si>
  <si>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</si>
  <si>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</si>
  <si>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</si>
  <si>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</si>
  <si>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</si>
  <si>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</si>
  <si>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</si>
  <si>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</si>
  <si>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</si>
  <si>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</si>
  <si>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</si>
  <si>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</si>
  <si>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</si>
  <si>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</si>
  <si>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</si>
  <si>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</si>
  <si>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Row Labels</t>
  </si>
  <si>
    <t>Grand Total</t>
  </si>
  <si>
    <t>Column Labels</t>
  </si>
  <si>
    <t>Count of Customer demographics</t>
  </si>
  <si>
    <t>Sum of Number of products sold</t>
  </si>
  <si>
    <t>Sum of Order quantities</t>
  </si>
  <si>
    <t>Sum of Manufacturing lead time</t>
  </si>
  <si>
    <t>Sum of Manufacturing costs</t>
  </si>
  <si>
    <t>Sum of Production volumes</t>
  </si>
  <si>
    <t>Average of Defect rates</t>
  </si>
  <si>
    <t>Profit</t>
  </si>
  <si>
    <t>Sum of Profit</t>
  </si>
  <si>
    <t>Sum of Shipping costs</t>
  </si>
  <si>
    <t>Sum of Shipping times</t>
  </si>
  <si>
    <t>Sum of Costs</t>
  </si>
  <si>
    <t>Current Inventory Count</t>
  </si>
  <si>
    <t>Sum of Current Inventory Count</t>
  </si>
  <si>
    <t>Average of Manufacturing lead time</t>
  </si>
  <si>
    <t>Average of Shipping times</t>
  </si>
  <si>
    <t>Average of Lead times</t>
  </si>
  <si>
    <t>Total Shipping times (in days)</t>
  </si>
  <si>
    <t>Total Shipping costs</t>
  </si>
  <si>
    <t>Total Transportation Costs</t>
  </si>
  <si>
    <t>Product Dashboard</t>
  </si>
  <si>
    <t>KPIs</t>
  </si>
  <si>
    <t>Inventory/Order</t>
  </si>
  <si>
    <t>Supplier/Manufacturing</t>
  </si>
  <si>
    <t>Carrier/Routes</t>
  </si>
  <si>
    <t>Category</t>
  </si>
  <si>
    <t>summary</t>
  </si>
  <si>
    <t>On-Time Delivery %</t>
  </si>
  <si>
    <t>Sell-Through Rate %</t>
  </si>
  <si>
    <t>Actual</t>
  </si>
  <si>
    <t>Remaining</t>
  </si>
  <si>
    <t>spacer</t>
  </si>
  <si>
    <t>value</t>
  </si>
  <si>
    <t>label</t>
  </si>
  <si>
    <t>Max of Lead times</t>
  </si>
  <si>
    <t>Max of Shipping times</t>
  </si>
  <si>
    <t>Max of Manufacturing lead time</t>
  </si>
  <si>
    <t>Max of Lead times (in days)</t>
  </si>
  <si>
    <t>Max of Shipping times (in days)</t>
  </si>
  <si>
    <t>Max of Manufacturing lead time (in days)</t>
  </si>
  <si>
    <t>Max of Manufacturing costs</t>
  </si>
  <si>
    <t>Max of Shipping costs</t>
  </si>
  <si>
    <t>Max of Costs</t>
  </si>
  <si>
    <t>Sum of Lead times</t>
  </si>
  <si>
    <t>Sum of Stock levels</t>
  </si>
  <si>
    <t>Inventory Deficit</t>
  </si>
  <si>
    <t>Cumulative Deficit</t>
  </si>
  <si>
    <t>Cumulative %</t>
  </si>
  <si>
    <t>Sum of Revenue generated</t>
  </si>
  <si>
    <t>Average of Lead time</t>
  </si>
  <si>
    <t>sla_shipping_time</t>
  </si>
  <si>
    <t>variance</t>
  </si>
  <si>
    <t>Inventory/Orders(KPI)</t>
  </si>
  <si>
    <t>SLA_order_fulfillment</t>
  </si>
  <si>
    <t>order_target</t>
  </si>
  <si>
    <t>Supplier/Manufacturing(KPI)</t>
  </si>
  <si>
    <t>target_mgf_effeciency</t>
  </si>
  <si>
    <t>Defective Units</t>
  </si>
  <si>
    <t>Total Stock Level</t>
  </si>
  <si>
    <t>Total Production volumes</t>
  </si>
  <si>
    <t>Total Order quantities</t>
  </si>
  <si>
    <t>Total Products Sold</t>
  </si>
  <si>
    <t>Total Inventry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</si>
</sst>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7" x14ac:knownFonts="1">
    <font>
      <sz val="11"/>
      <color theme="1"/>
      <name val="Calibri"/>
      <family val="2"/>
      <scheme val="minor"/>
    </font>
    <font>
      <sz val="11"/>
      <color theme="1"/>
      <name val="Calibri"/>
      <family val="2"/>
      <scheme val="minor"/>
    </font>
    <font>
      <sz val="11"/>
      <color rgb="FF9C5700"/>
      <name val="Calibri"/>
      <family val="2"/>
      <scheme val="minor"/>
    </font>
    <font>
      <sz val="11"/>
      <color theme="0"/>
      <name val="Calibri"/>
      <family val="2"/>
      <scheme val="minor"/>
    </font>
    <font>
      <sz val="11"/>
      <color theme="8" tint="-0.499984740745262"/>
      <name val="Times New Roman"/>
      <family val="1"/>
    </font>
    <font>
      <b/>
      <sz val="11"/>
      <color theme="1"/>
      <name val="Calibri"/>
      <family val="2"/>
      <scheme val="minor"/>
    </font>
    <font>
      <b/>
      <sz val="11"/>
      <color theme="0"/>
      <name val="Calibri"/>
      <family val="2"/>
      <scheme val="minor"/>
    </font>
  </fonts>
  <fills count="15">
    <fill>
      <patternFill patternType="none"/>
    </fill>
    <fill>
      <patternFill patternType="gray125"/>
    </fill>
    <fill>
      <patternFill patternType="solid">
        <fgColor theme="7" tint="0.59999389629810485"/>
        <bgColor indexed="64"/>
      </patternFill>
    </fill>
    <fill>
      <patternFill patternType="solid">
        <fgColor rgb="FFFFEB9C"/>
      </patternFill>
    </fill>
    <fill>
      <patternFill patternType="solid">
        <fgColor theme="5"/>
      </patternFill>
    </fill>
    <fill>
      <patternFill patternType="solid">
        <fgColor theme="5" tint="0.39997558519241921"/>
        <bgColor indexed="65"/>
      </patternFill>
    </fill>
    <fill>
      <patternFill patternType="solid">
        <fgColor rgb="FFFBE4D5"/>
        <bgColor indexed="64"/>
      </patternFill>
    </fill>
    <fill>
      <patternFill patternType="solid">
        <fgColor rgb="FFBFCFEB"/>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5"/>
      </patternFill>
    </fill>
    <fill>
      <patternFill patternType="solid">
        <fgColor theme="4"/>
      </patternFill>
    </fill>
    <fill>
      <patternFill patternType="solid">
        <fgColor theme="7"/>
      </patternFill>
    </fill>
    <fill>
      <patternFill patternType="solid">
        <fgColor theme="7" tint="0.79998168889431442"/>
        <bgColor indexed="65"/>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style="thin">
        <color indexed="64"/>
      </right>
      <top/>
      <bottom/>
      <diagonal/>
    </border>
    <border>
      <left style="thin">
        <color indexed="64"/>
      </left>
      <right/>
      <top style="thin">
        <color indexed="64"/>
      </top>
      <bottom/>
      <diagonal/>
    </border>
    <border>
      <left/>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9">
    <xf numFmtId="0" fontId="0" fillId="0" borderId="0"/>
    <xf numFmtId="0" fontId="2" fillId="3" borderId="0" applyNumberFormat="0" applyBorder="0" applyAlignment="0" applyProtection="0"/>
    <xf numFmtId="0" fontId="3" fillId="4" borderId="0" applyNumberFormat="0" applyBorder="0" applyAlignment="0" applyProtection="0"/>
    <xf numFmtId="0" fontId="1" fillId="5" borderId="0" applyNumberFormat="0" applyBorder="0" applyAlignment="0" applyProtection="0"/>
    <xf numFmtId="9" fontId="1" fillId="0" borderId="0" applyFont="0" applyFill="0" applyBorder="0" applyAlignment="0" applyProtection="0"/>
    <xf numFmtId="0" fontId="1"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1" fillId="14" borderId="0" applyNumberFormat="0" applyBorder="0" applyAlignment="0" applyProtection="0"/>
  </cellStyleXfs>
  <cellXfs count="48">
    <xf numFmtId="0" fontId="0" fillId="0" borderId="0" xfId="0"/>
    <xf numFmtId="16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2" fontId="0" fillId="0" borderId="0" xfId="0" applyNumberFormat="1"/>
    <xf numFmtId="0" fontId="0" fillId="0" borderId="1" xfId="0" applyBorder="1"/>
    <xf numFmtId="0" fontId="1" fillId="5" borderId="1" xfId="3" applyBorder="1"/>
    <xf numFmtId="0" fontId="3" fillId="4" borderId="1" xfId="2" applyBorder="1"/>
    <xf numFmtId="164" fontId="0" fillId="0" borderId="1" xfId="0" applyNumberFormat="1" applyBorder="1"/>
    <xf numFmtId="0" fontId="1" fillId="5" borderId="1" xfId="3" applyBorder="1" applyAlignment="1">
      <alignment wrapText="1"/>
    </xf>
    <xf numFmtId="10" fontId="0" fillId="0" borderId="0" xfId="0" applyNumberFormat="1"/>
    <xf numFmtId="0" fontId="5" fillId="9" borderId="2" xfId="0" applyFont="1" applyFill="1" applyBorder="1"/>
    <xf numFmtId="0" fontId="0" fillId="0" borderId="0" xfId="0" pivotButton="1" applyAlignment="1">
      <alignment horizontal="center"/>
    </xf>
    <xf numFmtId="0" fontId="0" fillId="0" borderId="0" xfId="0" applyAlignment="1">
      <alignment horizontal="center"/>
    </xf>
    <xf numFmtId="10" fontId="0" fillId="0" borderId="4" xfId="0" applyNumberFormat="1" applyBorder="1"/>
    <xf numFmtId="9" fontId="0" fillId="0" borderId="0" xfId="0" applyNumberFormat="1"/>
    <xf numFmtId="0" fontId="6" fillId="10" borderId="5" xfId="0" applyFont="1" applyFill="1" applyBorder="1"/>
    <xf numFmtId="0" fontId="0" fillId="9" borderId="5" xfId="0" applyFill="1" applyBorder="1"/>
    <xf numFmtId="0" fontId="0" fillId="0" borderId="5" xfId="0" applyBorder="1"/>
    <xf numFmtId="0" fontId="0" fillId="0" borderId="6" xfId="0" applyBorder="1"/>
    <xf numFmtId="10" fontId="0" fillId="0" borderId="3" xfId="4" applyNumberFormat="1" applyFont="1" applyBorder="1"/>
    <xf numFmtId="0" fontId="5" fillId="9" borderId="2" xfId="0" applyFont="1" applyFill="1" applyBorder="1" applyAlignment="1">
      <alignment wrapText="1"/>
    </xf>
    <xf numFmtId="0" fontId="0" fillId="0" borderId="9" xfId="0" applyBorder="1"/>
    <xf numFmtId="0" fontId="0" fillId="0" borderId="10" xfId="0" applyBorder="1"/>
    <xf numFmtId="0" fontId="6" fillId="10" borderId="1" xfId="0" applyFont="1" applyFill="1" applyBorder="1"/>
    <xf numFmtId="0" fontId="0" fillId="9" borderId="1" xfId="0" applyFill="1" applyBorder="1"/>
    <xf numFmtId="0" fontId="3" fillId="12" borderId="0" xfId="6"/>
    <xf numFmtId="0" fontId="1" fillId="11" borderId="1" xfId="5" applyBorder="1"/>
    <xf numFmtId="164" fontId="1" fillId="14" borderId="1" xfId="8" applyNumberFormat="1" applyBorder="1"/>
    <xf numFmtId="10" fontId="1" fillId="14" borderId="1" xfId="8" applyNumberFormat="1" applyBorder="1"/>
    <xf numFmtId="0" fontId="1" fillId="14" borderId="1" xfId="8" applyBorder="1"/>
    <xf numFmtId="0" fontId="1" fillId="14" borderId="1" xfId="8" applyBorder="1" applyAlignment="1">
      <alignment horizontal="center"/>
    </xf>
    <xf numFmtId="2" fontId="1" fillId="14" borderId="1" xfId="8" applyNumberFormat="1" applyBorder="1"/>
    <xf numFmtId="9" fontId="1" fillId="14" borderId="1" xfId="8" applyNumberFormat="1" applyBorder="1"/>
    <xf numFmtId="0" fontId="3" fillId="12" borderId="2" xfId="6" applyBorder="1"/>
    <xf numFmtId="0" fontId="6" fillId="13" borderId="1" xfId="7" applyFont="1" applyBorder="1"/>
    <xf numFmtId="0" fontId="6" fillId="12" borderId="1" xfId="6" applyFont="1" applyBorder="1"/>
    <xf numFmtId="0" fontId="6" fillId="13" borderId="11" xfId="7" applyFont="1" applyBorder="1" applyAlignment="1">
      <alignment horizontal="center"/>
    </xf>
    <xf numFmtId="0" fontId="6" fillId="13" borderId="8" xfId="7" applyFont="1" applyBorder="1" applyAlignment="1">
      <alignment horizontal="center"/>
    </xf>
    <xf numFmtId="0" fontId="6" fillId="13" borderId="7" xfId="7" applyFont="1" applyBorder="1" applyAlignment="1">
      <alignment horizontal="center"/>
    </xf>
    <xf numFmtId="0" fontId="2" fillId="3" borderId="11" xfId="1" applyBorder="1" applyAlignment="1">
      <alignment horizontal="center"/>
    </xf>
    <xf numFmtId="0" fontId="2" fillId="3" borderId="8" xfId="1" applyBorder="1" applyAlignment="1">
      <alignment horizontal="center"/>
    </xf>
    <xf numFmtId="0" fontId="2" fillId="3" borderId="7" xfId="1" applyBorder="1" applyAlignment="1">
      <alignment horizontal="center"/>
    </xf>
    <xf numFmtId="0" fontId="4" fillId="6" borderId="0" xfId="0" applyFont="1"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2" borderId="0" xfId="0" applyFill="1" applyAlignment="1">
      <alignment horizontal="center"/>
    </xf>
  </cellXfs>
  <cellStyles count="9">
    <cellStyle name="20% - Accent1" xfId="5" builtinId="30"/>
    <cellStyle name="20% - Accent4" xfId="8" builtinId="42"/>
    <cellStyle name="60% - Accent2" xfId="3" builtinId="36"/>
    <cellStyle name="Accent1" xfId="6" builtinId="29"/>
    <cellStyle name="Accent2" xfId="2" builtinId="33"/>
    <cellStyle name="Accent4" xfId="7" builtinId="41"/>
    <cellStyle name="Neutral" xfId="1" builtinId="28"/>
    <cellStyle name="Normal" xfId="0" builtinId="0"/>
    <cellStyle name="Percent" xfId="4" builtinId="5"/>
  </cellStyles>
  <dxfs count="44">
    <dxf>
      <numFmt numFmtId="14" formatCode="0.00%"/>
    </dxf>
    <dxf>
      <alignment horizontal="left" vertical="bottom" textRotation="0" wrapText="0" indent="0" justifyLastLine="0" shrinkToFit="0" readingOrder="0"/>
    </dxf>
    <dxf>
      <border outline="0">
        <left style="thin">
          <color theme="4" tint="0.39997558519241921"/>
        </left>
      </border>
    </dxf>
    <dxf>
      <numFmt numFmtId="14" formatCode="0.00%"/>
      <border diagonalUp="0" diagonalDown="0">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thin">
          <color indexed="64"/>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alignment wrapText="0"/>
    </dxf>
    <dxf>
      <alignment wrapText="0"/>
    </dxf>
    <dxf>
      <border diagonalUp="0" diagonalDown="0">
        <left/>
        <right/>
        <top style="thin">
          <color indexed="64"/>
        </top>
        <bottom/>
        <vertical/>
        <horizontal/>
      </border>
    </dxf>
    <dxf>
      <border diagonalUp="0" diagonalDown="0">
        <left/>
        <right/>
        <top style="thin">
          <color indexed="64"/>
        </top>
        <bottom/>
        <vertical/>
        <horizontal/>
      </border>
    </dxf>
    <dxf>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0" formatCode="General"/>
    </dxf>
    <dxf>
      <numFmt numFmtId="2" formatCode="0.00"/>
    </dxf>
    <dxf>
      <numFmt numFmtId="164" formatCode="_ [$₹-4009]\ * #,##0.00_ ;_ [$₹-4009]\ * \-#,##0.00_ ;_ [$₹-4009]\ * &quot;-&quot;??_ ;_ @_ "/>
    </dxf>
    <dxf>
      <numFmt numFmtId="164" formatCode="_ [$₹-4009]\ * #,##0.00_ ;_ [$₹-4009]\ * \-#,##0.00_ ;_ [$₹-4009]\ * &quot;-&quot;??_ ;_ @_ "/>
    </dxf>
    <dxf>
      <numFmt numFmtId="0" formatCode="General"/>
    </dxf>
    <dxf>
      <numFmt numFmtId="0" formatCode="General"/>
    </dxf>
    <dxf>
      <numFmt numFmtId="0" formatCode="General"/>
    </dxf>
    <dxf>
      <numFmt numFmtId="164" formatCode="_ [$₹-4009]\ * #,##0.00_ ;_ [$₹-4009]\ * \-#,##0.00_ ;_ [$₹-4009]\ * &quot;-&quot;??_ ;_ @_ "/>
    </dxf>
    <dxf>
      <numFmt numFmtId="0" formatCode="General"/>
    </dxf>
    <dxf>
      <numFmt numFmtId="0" formatCode="General"/>
    </dxf>
    <dxf>
      <numFmt numFmtId="164" formatCode="_ [$₹-4009]\ * #,##0.00_ ;_ [$₹-4009]\ * \-#,##0.00_ ;_ [$₹-4009]\ * &quot;-&quot;??_ ;_ @_ "/>
    </dxf>
    <dxf>
      <numFmt numFmtId="0" formatCode="General"/>
    </dxf>
    <dxf>
      <numFmt numFmtId="0" formatCode="General"/>
    </dxf>
    <dxf>
      <numFmt numFmtId="164" formatCode="_ [$₹-4009]\ * #,##0.00_ ;_ [$₹-4009]\ * \-#,##0.00_ ;_ [$₹-4009]\ * &quot;-&quot;??_ ;_ @_ "/>
    </dxf>
    <dxf>
      <numFmt numFmtId="164" formatCode="_ [$₹-4009]\ * #,##0.00_ ;_ [$₹-4009]\ * \-#,##0.00_ ;_ [$₹-4009]\ * &quot;-&quot;??_ ;_ @_ "/>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EDEDE"/>
      <color rgb="FFDCDCDC"/>
      <color rgb="FFFFCB25"/>
      <color rgb="FFFFD44B"/>
      <color rgb="FFB7D8A0"/>
      <color rgb="FFEAF6EA"/>
      <color rgb="FFBFCFEB"/>
      <color rgb="FFEEF2F7"/>
      <color rgb="FFFFDC6D"/>
      <color rgb="FFFFD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Dashboard.xlsx]Product_Pivot!PivotTable6</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t>Total Product Sold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455103957911075E-2"/>
              <c:y val="-7.40740740740740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326007326007326E-3"/>
              <c:y val="9.7222222222222224E-2"/>
            </c:manualLayout>
          </c:layout>
          <c:tx>
            <c:rich>
              <a:bodyPr/>
              <a:lstStyle/>
              <a:p>
                <a:fld id="{4CF5B8DC-3143-44E5-A549-3E621CD8289C}" type="VALUE">
                  <a:rPr lang="en-US" b="1">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dLbl>
          <c:idx val="0"/>
          <c:layout>
            <c:manualLayout>
              <c:x val="0"/>
              <c:y val="0.10648148148148148"/>
            </c:manualLayout>
          </c:layout>
          <c:tx>
            <c:rich>
              <a:bodyPr/>
              <a:lstStyle/>
              <a:p>
                <a:fld id="{5E12A35B-32DB-441B-AA18-7306E80154EA}" type="VALUE">
                  <a:rPr lang="en-US" b="1">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9566018722220244E-2"/>
              <c:y val="-6.944444444444444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1111111111111111"/>
            </c:manualLayout>
          </c:layout>
          <c:tx>
            <c:rich>
              <a:bodyPr/>
              <a:lstStyle/>
              <a:p>
                <a:fld id="{AD49BB6B-0189-4C0B-99D3-38F663D2F8BF}" type="VALUE">
                  <a:rPr lang="en-US" b="1">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9921652816496579E-2"/>
              <c:y val="-6.944444444444444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111111111111111"/>
            </c:manualLayout>
          </c:layout>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fld id="{AD808D70-2B65-4445-8FAE-89AFE5C63AB4}" type="VALUE">
                  <a:rPr lang="en-US"/>
                  <a:pPr>
                    <a:defRPr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dLbl>
          <c:idx val="0"/>
          <c:layout>
            <c:manualLayout>
              <c:x val="-2.4110914764309162E-3"/>
              <c:y val="0.10185185185185176"/>
            </c:manualLayout>
          </c:layout>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fld id="{93A200B5-5449-4AB4-B1BE-2860EE7D7FD7}" type="VALUE">
                  <a:rPr lang="en-US"/>
                  <a:pPr>
                    <a:defRPr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layout>
            <c:manualLayout>
              <c:x val="0"/>
              <c:y val="0.10648148148148148"/>
            </c:manualLayout>
          </c:layout>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fld id="{358CE926-5154-4AD1-8452-9DDA306D3702}" type="VALUE">
                  <a:rPr lang="en-US"/>
                  <a:pPr>
                    <a:defRPr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Product_Pivot!$B$1</c:f>
              <c:strCache>
                <c:ptCount val="1"/>
                <c:pt idx="0">
                  <c:v>Sum of Number of products sold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6212-4DE4-A64C-A636866728C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6212-4DE4-A64C-A636866728C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7-6212-4DE4-A64C-A636866728C8}"/>
              </c:ext>
            </c:extLst>
          </c:dPt>
          <c:dLbls>
            <c:dLbl>
              <c:idx val="0"/>
              <c:layout>
                <c:manualLayout>
                  <c:x val="0"/>
                  <c:y val="0.1111111111111111"/>
                </c:manualLayout>
              </c:layout>
              <c:tx>
                <c:rich>
                  <a:bodyPr/>
                  <a:lstStyle/>
                  <a:p>
                    <a:fld id="{AD808D70-2B65-4445-8FAE-89AFE5C63AB4}"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212-4DE4-A64C-A636866728C8}"/>
                </c:ext>
              </c:extLst>
            </c:dLbl>
            <c:dLbl>
              <c:idx val="1"/>
              <c:layout>
                <c:manualLayout>
                  <c:x val="-2.4110914764309162E-3"/>
                  <c:y val="0.10185185185185176"/>
                </c:manualLayout>
              </c:layout>
              <c:tx>
                <c:rich>
                  <a:bodyPr/>
                  <a:lstStyle/>
                  <a:p>
                    <a:fld id="{93A200B5-5449-4AB4-B1BE-2860EE7D7FD7}"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212-4DE4-A64C-A636866728C8}"/>
                </c:ext>
              </c:extLst>
            </c:dLbl>
            <c:dLbl>
              <c:idx val="2"/>
              <c:layout>
                <c:manualLayout>
                  <c:x val="0"/>
                  <c:y val="0.10648148148148148"/>
                </c:manualLayout>
              </c:layout>
              <c:tx>
                <c:rich>
                  <a:bodyPr/>
                  <a:lstStyle/>
                  <a:p>
                    <a:fld id="{358CE926-5154-4AD1-8452-9DDA306D3702}"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212-4DE4-A64C-A636866728C8}"/>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Product_Pivot!$A$2:$A$5</c:f>
              <c:strCache>
                <c:ptCount val="3"/>
                <c:pt idx="0">
                  <c:v>cosmetics</c:v>
                </c:pt>
                <c:pt idx="1">
                  <c:v>haircare</c:v>
                </c:pt>
                <c:pt idx="2">
                  <c:v>skincare</c:v>
                </c:pt>
              </c:strCache>
            </c:strRef>
          </c:cat>
          <c:val>
            <c:numRef>
              <c:f>Product_Pivot!$B$2:$B$5</c:f>
              <c:numCache>
                <c:formatCode>General</c:formatCode>
                <c:ptCount val="3"/>
                <c:pt idx="0">
                  <c:v>11757</c:v>
                </c:pt>
                <c:pt idx="1">
                  <c:v>13611</c:v>
                </c:pt>
                <c:pt idx="2">
                  <c:v>20731</c:v>
                </c:pt>
              </c:numCache>
            </c:numRef>
          </c:val>
          <c:extLst>
            <c:ext xmlns:c16="http://schemas.microsoft.com/office/drawing/2014/chart" uri="{C3380CC4-5D6E-409C-BE32-E72D297353CC}">
              <c16:uniqueId val="{00000000-6212-4DE4-A64C-A636866728C8}"/>
            </c:ext>
          </c:extLst>
        </c:ser>
        <c:dLbls>
          <c:showLegendKey val="0"/>
          <c:showVal val="1"/>
          <c:showCatName val="0"/>
          <c:showSerName val="0"/>
          <c:showPercent val="0"/>
          <c:showBubbleSize val="0"/>
        </c:dLbls>
        <c:gapWidth val="100"/>
        <c:axId val="1868362672"/>
        <c:axId val="1868361232"/>
      </c:barChart>
      <c:lineChart>
        <c:grouping val="standard"/>
        <c:varyColors val="0"/>
        <c:ser>
          <c:idx val="1"/>
          <c:order val="1"/>
          <c:tx>
            <c:strRef>
              <c:f>Product_Pivot!$C$1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A-6212-4DE4-A64C-A636866728C8}"/>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B-6212-4DE4-A64C-A636866728C8}"/>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C-6212-4DE4-A64C-A636866728C8}"/>
              </c:ext>
            </c:extLst>
          </c:dPt>
          <c:dLbls>
            <c:dLbl>
              <c:idx val="0"/>
              <c:layout>
                <c:manualLayout>
                  <c:x val="-5.5455103957911075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212-4DE4-A64C-A636866728C8}"/>
                </c:ext>
              </c:extLst>
            </c:dLbl>
            <c:dLbl>
              <c:idx val="1"/>
              <c:layout>
                <c:manualLayout>
                  <c:x val="-7.9566018722220244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212-4DE4-A64C-A636866728C8}"/>
                </c:ext>
              </c:extLst>
            </c:dLbl>
            <c:dLbl>
              <c:idx val="2"/>
              <c:layout>
                <c:manualLayout>
                  <c:x val="-6.992165281649657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212-4DE4-A64C-A636866728C8}"/>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Product_Pivot!$A$2:$A$5</c:f>
              <c:strCache>
                <c:ptCount val="3"/>
                <c:pt idx="0">
                  <c:v>cosmetics</c:v>
                </c:pt>
                <c:pt idx="1">
                  <c:v>haircare</c:v>
                </c:pt>
                <c:pt idx="2">
                  <c:v>skincare</c:v>
                </c:pt>
              </c:strCache>
            </c:strRef>
          </c:cat>
          <c:val>
            <c:numRef>
              <c:f>Product_Pivot!$C$2:$C$5</c:f>
              <c:numCache>
                <c:formatCode>_ [$₹-4009]\ * #,##0.00_ ;_ [$₹-4009]\ * \-#,##0.00_ ;_ [$₹-4009]\ * "-"??_ ;_ @_ </c:formatCode>
                <c:ptCount val="3"/>
                <c:pt idx="0">
                  <c:v>146877.93363689139</c:v>
                </c:pt>
                <c:pt idx="1">
                  <c:v>155278.09237086662</c:v>
                </c:pt>
                <c:pt idx="2">
                  <c:v>217242.72982304875</c:v>
                </c:pt>
              </c:numCache>
            </c:numRef>
          </c:val>
          <c:smooth val="0"/>
          <c:extLst>
            <c:ext xmlns:c16="http://schemas.microsoft.com/office/drawing/2014/chart" uri="{C3380CC4-5D6E-409C-BE32-E72D297353CC}">
              <c16:uniqueId val="{00000009-6212-4DE4-A64C-A636866728C8}"/>
            </c:ext>
          </c:extLst>
        </c:ser>
        <c:dLbls>
          <c:showLegendKey val="0"/>
          <c:showVal val="1"/>
          <c:showCatName val="0"/>
          <c:showSerName val="0"/>
          <c:showPercent val="0"/>
          <c:showBubbleSize val="0"/>
        </c:dLbls>
        <c:marker val="1"/>
        <c:smooth val="0"/>
        <c:axId val="1087462512"/>
        <c:axId val="1040632720"/>
      </c:lineChart>
      <c:catAx>
        <c:axId val="186836267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361232"/>
        <c:crosses val="autoZero"/>
        <c:auto val="1"/>
        <c:lblAlgn val="ctr"/>
        <c:lblOffset val="100"/>
        <c:noMultiLvlLbl val="0"/>
      </c:catAx>
      <c:valAx>
        <c:axId val="1868361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Order 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362672"/>
        <c:crosses val="autoZero"/>
        <c:crossBetween val="between"/>
      </c:valAx>
      <c:valAx>
        <c:axId val="1040632720"/>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7462512"/>
        <c:crosses val="max"/>
        <c:crossBetween val="between"/>
      </c:valAx>
      <c:catAx>
        <c:axId val="1087462512"/>
        <c:scaling>
          <c:orientation val="minMax"/>
        </c:scaling>
        <c:delete val="1"/>
        <c:axPos val="b"/>
        <c:numFmt formatCode="General" sourceLinked="1"/>
        <c:majorTickMark val="none"/>
        <c:minorTickMark val="none"/>
        <c:tickLblPos val="nextTo"/>
        <c:crossAx val="10406327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Dashboard.xlsx]Product_Pivot!PivotTable7</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sz="1600" b="1" i="0" u="none" strike="noStrike" baseline="0"/>
              <a:t>Demand vs Profit by City</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Product_Pivot!$B$7</c:f>
              <c:strCache>
                <c:ptCount val="1"/>
                <c:pt idx="0">
                  <c:v>Sum of Order quantities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Product_Pivot!$A$8:$A$13</c:f>
              <c:strCache>
                <c:ptCount val="5"/>
                <c:pt idx="0">
                  <c:v>Bangalore</c:v>
                </c:pt>
                <c:pt idx="1">
                  <c:v>Chennai</c:v>
                </c:pt>
                <c:pt idx="2">
                  <c:v>Delhi</c:v>
                </c:pt>
                <c:pt idx="3">
                  <c:v>Kolkata</c:v>
                </c:pt>
                <c:pt idx="4">
                  <c:v>Mumbai</c:v>
                </c:pt>
              </c:strCache>
            </c:strRef>
          </c:cat>
          <c:val>
            <c:numRef>
              <c:f>Product_Pivot!$B$8:$B$13</c:f>
              <c:numCache>
                <c:formatCode>General</c:formatCode>
                <c:ptCount val="5"/>
                <c:pt idx="0">
                  <c:v>769</c:v>
                </c:pt>
                <c:pt idx="1">
                  <c:v>1109</c:v>
                </c:pt>
                <c:pt idx="2">
                  <c:v>733</c:v>
                </c:pt>
                <c:pt idx="3">
                  <c:v>1228</c:v>
                </c:pt>
                <c:pt idx="4">
                  <c:v>1083</c:v>
                </c:pt>
              </c:numCache>
            </c:numRef>
          </c:val>
          <c:extLst>
            <c:ext xmlns:c16="http://schemas.microsoft.com/office/drawing/2014/chart" uri="{C3380CC4-5D6E-409C-BE32-E72D297353CC}">
              <c16:uniqueId val="{0000000B-FBCF-4711-A120-B35B5ECD4678}"/>
            </c:ext>
          </c:extLst>
        </c:ser>
        <c:ser>
          <c:idx val="1"/>
          <c:order val="1"/>
          <c:tx>
            <c:strRef>
              <c:f>Product_Pivot!$C$7</c:f>
              <c:strCache>
                <c:ptCount val="1"/>
                <c:pt idx="0">
                  <c:v>Sum of Revenue generated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Product_Pivot!$A$8:$A$13</c:f>
              <c:strCache>
                <c:ptCount val="5"/>
                <c:pt idx="0">
                  <c:v>Bangalore</c:v>
                </c:pt>
                <c:pt idx="1">
                  <c:v>Chennai</c:v>
                </c:pt>
                <c:pt idx="2">
                  <c:v>Delhi</c:v>
                </c:pt>
                <c:pt idx="3">
                  <c:v>Kolkata</c:v>
                </c:pt>
                <c:pt idx="4">
                  <c:v>Mumbai</c:v>
                </c:pt>
              </c:strCache>
            </c:strRef>
          </c:cat>
          <c:val>
            <c:numRef>
              <c:f>Product_Pivot!$C$8:$C$13</c:f>
              <c:numCache>
                <c:formatCode>_ [$₹-4009]\ * #,##0.00_ ;_ [$₹-4009]\ * \-#,##0.00_ ;_ [$₹-4009]\ * "-"??_ ;_ @_ </c:formatCode>
                <c:ptCount val="5"/>
                <c:pt idx="0">
                  <c:v>102601.72388223576</c:v>
                </c:pt>
                <c:pt idx="1">
                  <c:v>119142.81574806941</c:v>
                </c:pt>
                <c:pt idx="2">
                  <c:v>81027.701224853008</c:v>
                </c:pt>
                <c:pt idx="3">
                  <c:v>137077.5510053811</c:v>
                </c:pt>
                <c:pt idx="4">
                  <c:v>137755.02687746938</c:v>
                </c:pt>
              </c:numCache>
            </c:numRef>
          </c:val>
          <c:extLst>
            <c:ext xmlns:c16="http://schemas.microsoft.com/office/drawing/2014/chart" uri="{C3380CC4-5D6E-409C-BE32-E72D297353CC}">
              <c16:uniqueId val="{00000001-8901-4CB2-B321-A15B4034AD64}"/>
            </c:ext>
          </c:extLst>
        </c:ser>
        <c:ser>
          <c:idx val="2"/>
          <c:order val="2"/>
          <c:tx>
            <c:strRef>
              <c:f>Product_Pivot!$D$7</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Product_Pivot!$A$8:$A$13</c:f>
              <c:strCache>
                <c:ptCount val="5"/>
                <c:pt idx="0">
                  <c:v>Bangalore</c:v>
                </c:pt>
                <c:pt idx="1">
                  <c:v>Chennai</c:v>
                </c:pt>
                <c:pt idx="2">
                  <c:v>Delhi</c:v>
                </c:pt>
                <c:pt idx="3">
                  <c:v>Kolkata</c:v>
                </c:pt>
                <c:pt idx="4">
                  <c:v>Mumbai</c:v>
                </c:pt>
              </c:strCache>
            </c:strRef>
          </c:cat>
          <c:val>
            <c:numRef>
              <c:f>Product_Pivot!$D$8:$D$13</c:f>
              <c:numCache>
                <c:formatCode>_ [$₹-4009]\ * #,##0.00_ ;_ [$₹-4009]\ * \-#,##0.00_ ;_ [$₹-4009]\ * "-"??_ ;_ @_ </c:formatCode>
                <c:ptCount val="5"/>
                <c:pt idx="0">
                  <c:v>90821.62066641025</c:v>
                </c:pt>
                <c:pt idx="1">
                  <c:v>105591.12027157335</c:v>
                </c:pt>
                <c:pt idx="2">
                  <c:v>71994.884309806992</c:v>
                </c:pt>
                <c:pt idx="3">
                  <c:v>123605.19235852355</c:v>
                </c:pt>
                <c:pt idx="4">
                  <c:v>127385.93822449261</c:v>
                </c:pt>
              </c:numCache>
            </c:numRef>
          </c:val>
          <c:extLst>
            <c:ext xmlns:c16="http://schemas.microsoft.com/office/drawing/2014/chart" uri="{C3380CC4-5D6E-409C-BE32-E72D297353CC}">
              <c16:uniqueId val="{00000002-8901-4CB2-B321-A15B4034AD64}"/>
            </c:ext>
          </c:extLst>
        </c:ser>
        <c:dLbls>
          <c:dLblPos val="outEnd"/>
          <c:showLegendKey val="0"/>
          <c:showVal val="1"/>
          <c:showCatName val="0"/>
          <c:showSerName val="0"/>
          <c:showPercent val="0"/>
          <c:showBubbleSize val="0"/>
        </c:dLbls>
        <c:gapWidth val="100"/>
        <c:axId val="888855776"/>
        <c:axId val="1871240816"/>
      </c:barChart>
      <c:catAx>
        <c:axId val="888855776"/>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1240816"/>
        <c:crosses val="autoZero"/>
        <c:auto val="1"/>
        <c:lblAlgn val="ctr"/>
        <c:lblOffset val="100"/>
        <c:noMultiLvlLbl val="0"/>
      </c:catAx>
      <c:valAx>
        <c:axId val="187124081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Total Product Sold</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8885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Dashboard.xlsx]Product_Pivot!PivotTable8</c:name>
    <c:fmtId val="0"/>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US"/>
              <a:t>Customer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Product_Pivot!$B$15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CA3-40AB-925A-38D19607664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CA3-40AB-925A-38D19607664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CA3-40AB-925A-38D19607664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CA3-40AB-925A-38D19607664D}"/>
              </c:ext>
            </c:extLst>
          </c:dPt>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Product_Pivot!$A$16:$A$20</c:f>
              <c:strCache>
                <c:ptCount val="4"/>
                <c:pt idx="0">
                  <c:v>Female</c:v>
                </c:pt>
                <c:pt idx="1">
                  <c:v>Male</c:v>
                </c:pt>
                <c:pt idx="2">
                  <c:v>Non-binary</c:v>
                </c:pt>
                <c:pt idx="3">
                  <c:v>Unknown</c:v>
                </c:pt>
              </c:strCache>
            </c:strRef>
          </c:cat>
          <c:val>
            <c:numRef>
              <c:f>Product_Pivot!$B$16:$B$20</c:f>
              <c:numCache>
                <c:formatCode>General</c:formatCode>
                <c:ptCount val="4"/>
                <c:pt idx="0">
                  <c:v>25</c:v>
                </c:pt>
                <c:pt idx="1">
                  <c:v>21</c:v>
                </c:pt>
                <c:pt idx="2">
                  <c:v>23</c:v>
                </c:pt>
                <c:pt idx="3">
                  <c:v>31</c:v>
                </c:pt>
              </c:numCache>
            </c:numRef>
          </c:val>
          <c:extLst>
            <c:ext xmlns:c16="http://schemas.microsoft.com/office/drawing/2014/chart" uri="{C3380CC4-5D6E-409C-BE32-E72D297353CC}">
              <c16:uniqueId val="{00000000-8D7D-415B-B2BF-BC37C95ACBE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Dashboard.xlsx]Inventory_&amp;_Orders_Pivot!PivotTable10</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t>Shipping Time vs Cost</a:t>
            </a:r>
          </a:p>
        </c:rich>
      </c:tx>
      <c:layout>
        <c:manualLayout>
          <c:xMode val="edge"/>
          <c:yMode val="edge"/>
          <c:x val="0.29459711286089235"/>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3888888888888864E-2"/>
              <c:y val="-4.2437781360066642E-1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3.3333333333333229E-2"/>
              <c:y val="0"/>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2222222222222223E-2"/>
              <c:y val="-4.2437781360066642E-1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'Inventory_&amp;_Orders_Pivot'!$B$1</c:f>
              <c:strCache>
                <c:ptCount val="1"/>
                <c:pt idx="0">
                  <c:v>Sum of Shipping times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'Inventory_&amp;_Orders_Pivot'!$A$2:$A$5</c:f>
              <c:strCache>
                <c:ptCount val="3"/>
                <c:pt idx="0">
                  <c:v>Carrier A</c:v>
                </c:pt>
                <c:pt idx="1">
                  <c:v>Carrier B</c:v>
                </c:pt>
                <c:pt idx="2">
                  <c:v>Carrier C</c:v>
                </c:pt>
              </c:strCache>
            </c:strRef>
          </c:cat>
          <c:val>
            <c:numRef>
              <c:f>'Inventory_&amp;_Orders_Pivot'!$B$2:$B$5</c:f>
              <c:numCache>
                <c:formatCode>General</c:formatCode>
                <c:ptCount val="3"/>
                <c:pt idx="0">
                  <c:v>172</c:v>
                </c:pt>
                <c:pt idx="1">
                  <c:v>228</c:v>
                </c:pt>
                <c:pt idx="2">
                  <c:v>175</c:v>
                </c:pt>
              </c:numCache>
            </c:numRef>
          </c:val>
          <c:extLst>
            <c:ext xmlns:c16="http://schemas.microsoft.com/office/drawing/2014/chart" uri="{C3380CC4-5D6E-409C-BE32-E72D297353CC}">
              <c16:uniqueId val="{00000000-3B29-4DA8-A59F-8C919F3DCB2C}"/>
            </c:ext>
          </c:extLst>
        </c:ser>
        <c:ser>
          <c:idx val="1"/>
          <c:order val="1"/>
          <c:tx>
            <c:strRef>
              <c:f>'Inventory_&amp;_Orders_Pivot'!$C$1</c:f>
              <c:strCache>
                <c:ptCount val="1"/>
                <c:pt idx="0">
                  <c:v>Sum of Shipping costs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3B29-4DA8-A59F-8C919F3DCB2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3B29-4DA8-A59F-8C919F3DCB2C}"/>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3B29-4DA8-A59F-8C919F3DCB2C}"/>
              </c:ext>
            </c:extLst>
          </c:dPt>
          <c:dLbls>
            <c:dLbl>
              <c:idx val="0"/>
              <c:layout>
                <c:manualLayout>
                  <c:x val="1.3888888888888864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29-4DA8-A59F-8C919F3DCB2C}"/>
                </c:ext>
              </c:extLst>
            </c:dLbl>
            <c:dLbl>
              <c:idx val="1"/>
              <c:layout>
                <c:manualLayout>
                  <c:x val="3.333333333333322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29-4DA8-A59F-8C919F3DCB2C}"/>
                </c:ext>
              </c:extLst>
            </c:dLbl>
            <c:dLbl>
              <c:idx val="2"/>
              <c:layout>
                <c:manualLayout>
                  <c:x val="2.2222222222222223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29-4DA8-A59F-8C919F3DCB2C}"/>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'Inventory_&amp;_Orders_Pivot'!$A$2:$A$5</c:f>
              <c:strCache>
                <c:ptCount val="3"/>
                <c:pt idx="0">
                  <c:v>Carrier A</c:v>
                </c:pt>
                <c:pt idx="1">
                  <c:v>Carrier B</c:v>
                </c:pt>
                <c:pt idx="2">
                  <c:v>Carrier C</c:v>
                </c:pt>
              </c:strCache>
            </c:strRef>
          </c:cat>
          <c:val>
            <c:numRef>
              <c:f>'Inventory_&amp;_Orders_Pivot'!$C$2:$C$5</c:f>
              <c:numCache>
                <c:formatCode>_ [$₹-4009]\ * #,##0.00_ ;_ [$₹-4009]\ * \-#,##0.00_ ;_ [$₹-4009]\ * "-"??_ ;_ @_ </c:formatCode>
                <c:ptCount val="3"/>
                <c:pt idx="0">
                  <c:v>155.53783060623559</c:v>
                </c:pt>
                <c:pt idx="1">
                  <c:v>236.89761966393539</c:v>
                </c:pt>
                <c:pt idx="2">
                  <c:v>162.37945693178767</c:v>
                </c:pt>
              </c:numCache>
            </c:numRef>
          </c:val>
          <c:extLst>
            <c:ext xmlns:c16="http://schemas.microsoft.com/office/drawing/2014/chart" uri="{C3380CC4-5D6E-409C-BE32-E72D297353CC}">
              <c16:uniqueId val="{00000001-3B29-4DA8-A59F-8C919F3DCB2C}"/>
            </c:ext>
          </c:extLst>
        </c:ser>
        <c:dLbls>
          <c:dLblPos val="outEnd"/>
          <c:showLegendKey val="0"/>
          <c:showVal val="1"/>
          <c:showCatName val="0"/>
          <c:showSerName val="0"/>
          <c:showPercent val="0"/>
          <c:showBubbleSize val="0"/>
        </c:dLbls>
        <c:gapWidth val="219"/>
        <c:overlap val="-27"/>
        <c:axId val="1087451952"/>
        <c:axId val="1087457232"/>
      </c:barChart>
      <c:catAx>
        <c:axId val="108745195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Carriers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7457232"/>
        <c:crosses val="autoZero"/>
        <c:auto val="1"/>
        <c:lblAlgn val="ctr"/>
        <c:lblOffset val="100"/>
        <c:noMultiLvlLbl val="0"/>
      </c:catAx>
      <c:valAx>
        <c:axId val="108745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Shipping Time (in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745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Dashboard.xlsx]Inventory_&amp;_Orders_Pivot!PivotTable8</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Order Fulfillment Timeline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9936051159072735E-2"/>
              <c:y val="-0.121104742251918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548358627841462"/>
              <c:y val="0.141288865960571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466826538768972"/>
              <c:y val="-3.22945979338450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2382093049692633"/>
              <c:y val="0.125141566993649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7905675459632298"/>
              <c:y val="3.63314226755755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
              <c:y val="7.26628453511513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3269384492406075"/>
              <c:y val="-8.07364948346125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9.4324540367705836E-2"/>
              <c:y val="-0.20184123708653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9824140687450043"/>
              <c:y val="7.26628453511512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1618094500777327"/>
          <c:y val="0.26462117260540802"/>
          <c:w val="0.30547849764363194"/>
          <c:h val="0.52360000851865374"/>
        </c:manualLayout>
      </c:layout>
      <c:doughnutChart>
        <c:varyColors val="1"/>
        <c:ser>
          <c:idx val="0"/>
          <c:order val="0"/>
          <c:tx>
            <c:strRef>
              <c:f>'Inventory_&amp;_Orders_Pivot'!$R$17</c:f>
              <c:strCache>
                <c:ptCount val="1"/>
                <c:pt idx="0">
                  <c:v>Average of Manufacturing lead time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8-40B5-4332-9743-D59C2F18EF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40B5-4332-9743-D59C2F18EF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E-40B5-4332-9743-D59C2F18EFA3}"/>
              </c:ext>
            </c:extLst>
          </c:dPt>
          <c:dLbls>
            <c:dLbl>
              <c:idx val="0"/>
              <c:layout>
                <c:manualLayout>
                  <c:x val="0.16466826538768972"/>
                  <c:y val="-3.2294597933845023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8-40B5-4332-9743-D59C2F18EFA3}"/>
                </c:ext>
              </c:extLst>
            </c:dLbl>
            <c:dLbl>
              <c:idx val="1"/>
              <c:layout>
                <c:manualLayout>
                  <c:x val="0.22382093049692633"/>
                  <c:y val="0.12514156699364931"/>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9-40B5-4332-9743-D59C2F18EFA3}"/>
                </c:ext>
              </c:extLst>
            </c:dLbl>
            <c:dLbl>
              <c:idx val="2"/>
              <c:layout>
                <c:manualLayout>
                  <c:x val="-0.19824140687450043"/>
                  <c:y val="7.2662845351151237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E-40B5-4332-9743-D59C2F18EFA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'Inventory_&amp;_Orders_Pivot'!$Q$18:$Q$21</c:f>
              <c:strCache>
                <c:ptCount val="3"/>
                <c:pt idx="0">
                  <c:v>cosmetics</c:v>
                </c:pt>
                <c:pt idx="1">
                  <c:v>haircare</c:v>
                </c:pt>
                <c:pt idx="2">
                  <c:v>skincare</c:v>
                </c:pt>
              </c:strCache>
            </c:strRef>
          </c:cat>
          <c:val>
            <c:numRef>
              <c:f>'Inventory_&amp;_Orders_Pivot'!$R$18:$R$21</c:f>
              <c:numCache>
                <c:formatCode>General</c:formatCode>
                <c:ptCount val="3"/>
                <c:pt idx="0">
                  <c:v>13.307692307692308</c:v>
                </c:pt>
                <c:pt idx="1">
                  <c:v>17.058823529411764</c:v>
                </c:pt>
                <c:pt idx="2">
                  <c:v>13.775</c:v>
                </c:pt>
              </c:numCache>
            </c:numRef>
          </c:val>
          <c:extLst>
            <c:ext xmlns:c16="http://schemas.microsoft.com/office/drawing/2014/chart" uri="{C3380CC4-5D6E-409C-BE32-E72D297353CC}">
              <c16:uniqueId val="{00000012-40B5-4332-9743-D59C2F18EFA3}"/>
            </c:ext>
          </c:extLst>
        </c:ser>
        <c:ser>
          <c:idx val="1"/>
          <c:order val="1"/>
          <c:tx>
            <c:strRef>
              <c:f>'Inventory_&amp;_Orders_Pivot'!$S$17</c:f>
              <c:strCache>
                <c:ptCount val="1"/>
                <c:pt idx="0">
                  <c:v>Average of Shipping times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40B5-4332-9743-D59C2F18EF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A-40B5-4332-9743-D59C2F18EF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40B5-4332-9743-D59C2F18EFA3}"/>
              </c:ext>
            </c:extLst>
          </c:dPt>
          <c:dLbls>
            <c:dLbl>
              <c:idx val="0"/>
              <c:layout>
                <c:manualLayout>
                  <c:x val="0.14548358627841462"/>
                  <c:y val="0.14128886596057191"/>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7-40B5-4332-9743-D59C2F18EFA3}"/>
                </c:ext>
              </c:extLst>
            </c:dLbl>
            <c:dLbl>
              <c:idx val="1"/>
              <c:layout>
                <c:manualLayout>
                  <c:x val="-0.17905675459632298"/>
                  <c:y val="3.6331422675575507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A-40B5-4332-9743-D59C2F18EFA3}"/>
                </c:ext>
              </c:extLst>
            </c:dLbl>
            <c:dLbl>
              <c:idx val="2"/>
              <c:layout>
                <c:manualLayout>
                  <c:x val="-9.4324540367705836E-2"/>
                  <c:y val="-0.2018412370865314"/>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D-40B5-4332-9743-D59C2F18EFA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'Inventory_&amp;_Orders_Pivot'!$Q$18:$Q$21</c:f>
              <c:strCache>
                <c:ptCount val="3"/>
                <c:pt idx="0">
                  <c:v>cosmetics</c:v>
                </c:pt>
                <c:pt idx="1">
                  <c:v>haircare</c:v>
                </c:pt>
                <c:pt idx="2">
                  <c:v>skincare</c:v>
                </c:pt>
              </c:strCache>
            </c:strRef>
          </c:cat>
          <c:val>
            <c:numRef>
              <c:f>'Inventory_&amp;_Orders_Pivot'!$S$18:$S$21</c:f>
              <c:numCache>
                <c:formatCode>General</c:formatCode>
                <c:ptCount val="3"/>
                <c:pt idx="0">
                  <c:v>6.5769230769230766</c:v>
                </c:pt>
                <c:pt idx="1">
                  <c:v>5.617647058823529</c:v>
                </c:pt>
                <c:pt idx="2">
                  <c:v>5.3250000000000002</c:v>
                </c:pt>
              </c:numCache>
            </c:numRef>
          </c:val>
          <c:extLst>
            <c:ext xmlns:c16="http://schemas.microsoft.com/office/drawing/2014/chart" uri="{C3380CC4-5D6E-409C-BE32-E72D297353CC}">
              <c16:uniqueId val="{00000013-40B5-4332-9743-D59C2F18EFA3}"/>
            </c:ext>
          </c:extLst>
        </c:ser>
        <c:ser>
          <c:idx val="2"/>
          <c:order val="2"/>
          <c:tx>
            <c:strRef>
              <c:f>'Inventory_&amp;_Orders_Pivot'!$T$17</c:f>
              <c:strCache>
                <c:ptCount val="1"/>
                <c:pt idx="0">
                  <c:v>Average of Lead times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40B5-4332-9743-D59C2F18EF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40B5-4332-9743-D59C2F18EF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C-40B5-4332-9743-D59C2F18EFA3}"/>
              </c:ext>
            </c:extLst>
          </c:dPt>
          <c:dLbls>
            <c:dLbl>
              <c:idx val="0"/>
              <c:layout>
                <c:manualLayout>
                  <c:x val="7.9936051159072735E-2"/>
                  <c:y val="-0.12110474225191885"/>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6-40B5-4332-9743-D59C2F18EFA3}"/>
                </c:ext>
              </c:extLst>
            </c:dLbl>
            <c:dLbl>
              <c:idx val="1"/>
              <c:layout>
                <c:manualLayout>
                  <c:x val="0"/>
                  <c:y val="7.2662845351151306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B-40B5-4332-9743-D59C2F18EFA3}"/>
                </c:ext>
              </c:extLst>
            </c:dLbl>
            <c:dLbl>
              <c:idx val="2"/>
              <c:layout>
                <c:manualLayout>
                  <c:x val="-0.13269384492406075"/>
                  <c:y val="-8.0736494834612593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C-40B5-4332-9743-D59C2F18EFA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'Inventory_&amp;_Orders_Pivot'!$Q$18:$Q$21</c:f>
              <c:strCache>
                <c:ptCount val="3"/>
                <c:pt idx="0">
                  <c:v>cosmetics</c:v>
                </c:pt>
                <c:pt idx="1">
                  <c:v>haircare</c:v>
                </c:pt>
                <c:pt idx="2">
                  <c:v>skincare</c:v>
                </c:pt>
              </c:strCache>
            </c:strRef>
          </c:cat>
          <c:val>
            <c:numRef>
              <c:f>'Inventory_&amp;_Orders_Pivot'!$T$18:$T$21</c:f>
              <c:numCache>
                <c:formatCode>General</c:formatCode>
                <c:ptCount val="3"/>
                <c:pt idx="0">
                  <c:v>15.384615384615385</c:v>
                </c:pt>
                <c:pt idx="1">
                  <c:v>15.529411764705882</c:v>
                </c:pt>
                <c:pt idx="2">
                  <c:v>16.7</c:v>
                </c:pt>
              </c:numCache>
            </c:numRef>
          </c:val>
          <c:extLst>
            <c:ext xmlns:c16="http://schemas.microsoft.com/office/drawing/2014/chart" uri="{C3380CC4-5D6E-409C-BE32-E72D297353CC}">
              <c16:uniqueId val="{00000014-40B5-4332-9743-D59C2F18EFA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200" b="1" i="0" u="none" strike="noStrike" cap="none" baseline="0">
                <a:solidFill>
                  <a:schemeClr val="tx1"/>
                </a:solidFill>
                <a:latin typeface="Times New Roman" panose="02020603050405020304" pitchFamily="18" charset="0"/>
                <a:cs typeface="Times New Roman" panose="02020603050405020304" pitchFamily="18" charset="0"/>
              </a:rPr>
              <a:t>Manufacturing Time </a:t>
            </a:r>
            <a:r>
              <a:rPr lang="en-IN" sz="1200" b="1" i="0" u="none" strike="noStrike" kern="1200" cap="none" spc="20" baseline="0">
                <a:solidFill>
                  <a:schemeClr val="tx1"/>
                </a:solidFill>
                <a:latin typeface="Times New Roman" panose="02020603050405020304" pitchFamily="18" charset="0"/>
                <a:cs typeface="Times New Roman" panose="02020603050405020304" pitchFamily="18" charset="0"/>
              </a:rPr>
              <a:t>Impact </a:t>
            </a:r>
            <a:r>
              <a:rPr lang="en-IN" sz="1200" b="1" i="0" u="none" strike="noStrike" cap="none" baseline="0">
                <a:solidFill>
                  <a:schemeClr val="tx1"/>
                </a:solidFill>
                <a:latin typeface="Times New Roman" panose="02020603050405020304" pitchFamily="18" charset="0"/>
                <a:cs typeface="Times New Roman" panose="02020603050405020304" pitchFamily="18" charset="0"/>
              </a:rPr>
              <a:t>on Inventory Position</a:t>
            </a:r>
            <a:endParaRPr lang="en-US" sz="12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0414854402280042"/>
          <c:y val="2.7777777777777776E-2"/>
        </c:manualLayout>
      </c:layout>
      <c:overlay val="0"/>
      <c:spPr>
        <a:noFill/>
        <a:ln>
          <a:noFill/>
        </a:ln>
        <a:effectLst/>
      </c:spPr>
    </c:title>
    <c:autoTitleDeleted val="0"/>
    <c:plotArea>
      <c:layout/>
      <c:scatterChart>
        <c:scatterStyle val="lineMarker"/>
        <c:varyColors val="0"/>
        <c:ser>
          <c:idx val="0"/>
          <c:order val="0"/>
          <c:tx>
            <c:strRef>
              <c:f>'Inventory_&amp;_Orders_Pivot'!$H$7</c:f>
              <c:strCache>
                <c:ptCount val="1"/>
                <c:pt idx="0">
                  <c:v>Average of Lead time</c:v>
                </c:pt>
              </c:strCache>
            </c:strRef>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'Inventory_&amp;_Orders_Pivot'!$G$8:$G$107</c:f>
              <c:numCache>
                <c:formatCode>General</c:formatCode>
                <c:ptCount val="100"/>
                <c:pt idx="0">
                  <c:v>-747</c:v>
                </c:pt>
                <c:pt idx="1">
                  <c:v>-641</c:v>
                </c:pt>
                <c:pt idx="2">
                  <c:v>-985</c:v>
                </c:pt>
                <c:pt idx="3">
                  <c:v>-865</c:v>
                </c:pt>
                <c:pt idx="4">
                  <c:v>-295</c:v>
                </c:pt>
                <c:pt idx="5">
                  <c:v>-244</c:v>
                </c:pt>
                <c:pt idx="6">
                  <c:v>-536</c:v>
                </c:pt>
                <c:pt idx="7">
                  <c:v>-375</c:v>
                </c:pt>
                <c:pt idx="8">
                  <c:v>-206</c:v>
                </c:pt>
                <c:pt idx="9">
                  <c:v>-44</c:v>
                </c:pt>
                <c:pt idx="10">
                  <c:v>-597</c:v>
                </c:pt>
                <c:pt idx="11">
                  <c:v>-87</c:v>
                </c:pt>
                <c:pt idx="12">
                  <c:v>26</c:v>
                </c:pt>
                <c:pt idx="13">
                  <c:v>-298</c:v>
                </c:pt>
                <c:pt idx="14">
                  <c:v>-541</c:v>
                </c:pt>
                <c:pt idx="15">
                  <c:v>-829</c:v>
                </c:pt>
                <c:pt idx="16">
                  <c:v>-361</c:v>
                </c:pt>
                <c:pt idx="17">
                  <c:v>-177</c:v>
                </c:pt>
                <c:pt idx="18">
                  <c:v>-69</c:v>
                </c:pt>
                <c:pt idx="19">
                  <c:v>-344</c:v>
                </c:pt>
                <c:pt idx="20">
                  <c:v>-310</c:v>
                </c:pt>
                <c:pt idx="21">
                  <c:v>-382</c:v>
                </c:pt>
                <c:pt idx="22">
                  <c:v>-250</c:v>
                </c:pt>
                <c:pt idx="23">
                  <c:v>-15</c:v>
                </c:pt>
                <c:pt idx="24">
                  <c:v>-317</c:v>
                </c:pt>
                <c:pt idx="25">
                  <c:v>-140</c:v>
                </c:pt>
                <c:pt idx="26">
                  <c:v>-738</c:v>
                </c:pt>
                <c:pt idx="27">
                  <c:v>-553</c:v>
                </c:pt>
                <c:pt idx="28">
                  <c:v>-506</c:v>
                </c:pt>
                <c:pt idx="29">
                  <c:v>-438</c:v>
                </c:pt>
                <c:pt idx="30">
                  <c:v>-929</c:v>
                </c:pt>
                <c:pt idx="31">
                  <c:v>-958</c:v>
                </c:pt>
                <c:pt idx="32">
                  <c:v>-630</c:v>
                </c:pt>
                <c:pt idx="33">
                  <c:v>-150</c:v>
                </c:pt>
                <c:pt idx="34">
                  <c:v>-845</c:v>
                </c:pt>
                <c:pt idx="35">
                  <c:v>-836</c:v>
                </c:pt>
                <c:pt idx="36">
                  <c:v>-521</c:v>
                </c:pt>
                <c:pt idx="37">
                  <c:v>-57</c:v>
                </c:pt>
                <c:pt idx="38">
                  <c:v>-592</c:v>
                </c:pt>
                <c:pt idx="39">
                  <c:v>-885</c:v>
                </c:pt>
                <c:pt idx="40">
                  <c:v>-23</c:v>
                </c:pt>
                <c:pt idx="41">
                  <c:v>-784</c:v>
                </c:pt>
                <c:pt idx="42">
                  <c:v>-817</c:v>
                </c:pt>
                <c:pt idx="43">
                  <c:v>-1</c:v>
                </c:pt>
                <c:pt idx="44">
                  <c:v>-80</c:v>
                </c:pt>
                <c:pt idx="45">
                  <c:v>-60</c:v>
                </c:pt>
                <c:pt idx="46">
                  <c:v>-542</c:v>
                </c:pt>
                <c:pt idx="47">
                  <c:v>-93</c:v>
                </c:pt>
                <c:pt idx="48">
                  <c:v>-819</c:v>
                </c:pt>
                <c:pt idx="49">
                  <c:v>-149</c:v>
                </c:pt>
                <c:pt idx="50">
                  <c:v>-611</c:v>
                </c:pt>
                <c:pt idx="51">
                  <c:v>-685</c:v>
                </c:pt>
                <c:pt idx="52">
                  <c:v>-3</c:v>
                </c:pt>
                <c:pt idx="53">
                  <c:v>-162</c:v>
                </c:pt>
                <c:pt idx="54">
                  <c:v>-815</c:v>
                </c:pt>
                <c:pt idx="55">
                  <c:v>-454</c:v>
                </c:pt>
                <c:pt idx="56">
                  <c:v>-17</c:v>
                </c:pt>
                <c:pt idx="57">
                  <c:v>-364</c:v>
                </c:pt>
                <c:pt idx="58">
                  <c:v>-94</c:v>
                </c:pt>
                <c:pt idx="59">
                  <c:v>-181</c:v>
                </c:pt>
                <c:pt idx="60">
                  <c:v>-191</c:v>
                </c:pt>
                <c:pt idx="61">
                  <c:v>-123</c:v>
                </c:pt>
                <c:pt idx="62">
                  <c:v>-385</c:v>
                </c:pt>
                <c:pt idx="63">
                  <c:v>-652</c:v>
                </c:pt>
                <c:pt idx="64">
                  <c:v>-497</c:v>
                </c:pt>
                <c:pt idx="65">
                  <c:v>-134</c:v>
                </c:pt>
                <c:pt idx="66">
                  <c:v>-449</c:v>
                </c:pt>
                <c:pt idx="67">
                  <c:v>-367</c:v>
                </c:pt>
                <c:pt idx="68">
                  <c:v>58</c:v>
                </c:pt>
                <c:pt idx="69">
                  <c:v>-623</c:v>
                </c:pt>
                <c:pt idx="70">
                  <c:v>-390</c:v>
                </c:pt>
                <c:pt idx="71">
                  <c:v>-334</c:v>
                </c:pt>
                <c:pt idx="72">
                  <c:v>-840</c:v>
                </c:pt>
                <c:pt idx="73">
                  <c:v>-77</c:v>
                </c:pt>
                <c:pt idx="74">
                  <c:v>-218</c:v>
                </c:pt>
                <c:pt idx="75">
                  <c:v>-345</c:v>
                </c:pt>
                <c:pt idx="76">
                  <c:v>-896</c:v>
                </c:pt>
                <c:pt idx="77">
                  <c:v>-142</c:v>
                </c:pt>
                <c:pt idx="78">
                  <c:v>-72</c:v>
                </c:pt>
                <c:pt idx="79">
                  <c:v>-797</c:v>
                </c:pt>
                <c:pt idx="80">
                  <c:v>-765</c:v>
                </c:pt>
                <c:pt idx="81">
                  <c:v>-323</c:v>
                </c:pt>
                <c:pt idx="82">
                  <c:v>-581</c:v>
                </c:pt>
                <c:pt idx="83">
                  <c:v>-519</c:v>
                </c:pt>
                <c:pt idx="84">
                  <c:v>58</c:v>
                </c:pt>
                <c:pt idx="85">
                  <c:v>-205</c:v>
                </c:pt>
                <c:pt idx="86">
                  <c:v>-55</c:v>
                </c:pt>
                <c:pt idx="87">
                  <c:v>-679</c:v>
                </c:pt>
                <c:pt idx="88">
                  <c:v>-124</c:v>
                </c:pt>
                <c:pt idx="89">
                  <c:v>-945</c:v>
                </c:pt>
                <c:pt idx="90">
                  <c:v>-264</c:v>
                </c:pt>
                <c:pt idx="91">
                  <c:v>-826</c:v>
                </c:pt>
                <c:pt idx="92">
                  <c:v>-232</c:v>
                </c:pt>
                <c:pt idx="93">
                  <c:v>-26</c:v>
                </c:pt>
                <c:pt idx="94">
                  <c:v>-890</c:v>
                </c:pt>
                <c:pt idx="95">
                  <c:v>-607</c:v>
                </c:pt>
                <c:pt idx="96">
                  <c:v>-295</c:v>
                </c:pt>
                <c:pt idx="97">
                  <c:v>-6</c:v>
                </c:pt>
                <c:pt idx="98">
                  <c:v>-870</c:v>
                </c:pt>
                <c:pt idx="99">
                  <c:v>-610</c:v>
                </c:pt>
              </c:numCache>
            </c:numRef>
          </c:xVal>
          <c:yVal>
            <c:numRef>
              <c:f>'Inventory_&amp;_Orders_Pivot'!$H$8:$H$107</c:f>
              <c:numCache>
                <c:formatCode>General</c:formatCode>
                <c:ptCount val="100"/>
                <c:pt idx="0">
                  <c:v>29</c:v>
                </c:pt>
                <c:pt idx="1">
                  <c:v>30</c:v>
                </c:pt>
                <c:pt idx="2">
                  <c:v>5</c:v>
                </c:pt>
                <c:pt idx="3">
                  <c:v>11</c:v>
                </c:pt>
                <c:pt idx="4">
                  <c:v>3</c:v>
                </c:pt>
                <c:pt idx="5">
                  <c:v>10</c:v>
                </c:pt>
                <c:pt idx="6">
                  <c:v>14</c:v>
                </c:pt>
                <c:pt idx="7">
                  <c:v>7</c:v>
                </c:pt>
                <c:pt idx="8">
                  <c:v>21</c:v>
                </c:pt>
                <c:pt idx="9">
                  <c:v>16</c:v>
                </c:pt>
                <c:pt idx="10">
                  <c:v>17</c:v>
                </c:pt>
                <c:pt idx="11">
                  <c:v>16</c:v>
                </c:pt>
                <c:pt idx="12">
                  <c:v>27</c:v>
                </c:pt>
                <c:pt idx="13">
                  <c:v>6</c:v>
                </c:pt>
                <c:pt idx="14">
                  <c:v>4</c:v>
                </c:pt>
                <c:pt idx="15">
                  <c:v>28</c:v>
                </c:pt>
                <c:pt idx="16">
                  <c:v>29</c:v>
                </c:pt>
                <c:pt idx="17">
                  <c:v>3</c:v>
                </c:pt>
                <c:pt idx="18">
                  <c:v>23</c:v>
                </c:pt>
                <c:pt idx="19">
                  <c:v>4</c:v>
                </c:pt>
                <c:pt idx="20">
                  <c:v>4</c:v>
                </c:pt>
                <c:pt idx="21">
                  <c:v>7</c:v>
                </c:pt>
                <c:pt idx="22">
                  <c:v>7</c:v>
                </c:pt>
                <c:pt idx="23">
                  <c:v>18</c:v>
                </c:pt>
                <c:pt idx="24">
                  <c:v>30</c:v>
                </c:pt>
                <c:pt idx="25">
                  <c:v>8</c:v>
                </c:pt>
                <c:pt idx="26">
                  <c:v>7</c:v>
                </c:pt>
                <c:pt idx="27">
                  <c:v>23</c:v>
                </c:pt>
                <c:pt idx="28">
                  <c:v>10</c:v>
                </c:pt>
                <c:pt idx="29">
                  <c:v>2</c:v>
                </c:pt>
                <c:pt idx="30">
                  <c:v>19</c:v>
                </c:pt>
                <c:pt idx="31">
                  <c:v>15</c:v>
                </c:pt>
                <c:pt idx="32">
                  <c:v>12</c:v>
                </c:pt>
                <c:pt idx="33">
                  <c:v>6</c:v>
                </c:pt>
                <c:pt idx="34">
                  <c:v>3</c:v>
                </c:pt>
                <c:pt idx="35">
                  <c:v>1</c:v>
                </c:pt>
                <c:pt idx="36">
                  <c:v>7</c:v>
                </c:pt>
                <c:pt idx="37">
                  <c:v>7</c:v>
                </c:pt>
                <c:pt idx="38">
                  <c:v>23</c:v>
                </c:pt>
                <c:pt idx="39">
                  <c:v>18</c:v>
                </c:pt>
                <c:pt idx="40">
                  <c:v>25</c:v>
                </c:pt>
                <c:pt idx="41">
                  <c:v>23</c:v>
                </c:pt>
                <c:pt idx="42">
                  <c:v>20</c:v>
                </c:pt>
                <c:pt idx="43">
                  <c:v>18</c:v>
                </c:pt>
                <c:pt idx="44">
                  <c:v>28</c:v>
                </c:pt>
                <c:pt idx="45">
                  <c:v>17</c:v>
                </c:pt>
                <c:pt idx="46">
                  <c:v>21</c:v>
                </c:pt>
                <c:pt idx="47">
                  <c:v>28</c:v>
                </c:pt>
                <c:pt idx="48">
                  <c:v>27</c:v>
                </c:pt>
                <c:pt idx="49">
                  <c:v>17</c:v>
                </c:pt>
                <c:pt idx="50">
                  <c:v>29</c:v>
                </c:pt>
                <c:pt idx="51">
                  <c:v>5</c:v>
                </c:pt>
                <c:pt idx="52">
                  <c:v>28</c:v>
                </c:pt>
                <c:pt idx="53">
                  <c:v>25</c:v>
                </c:pt>
                <c:pt idx="54">
                  <c:v>7</c:v>
                </c:pt>
                <c:pt idx="55">
                  <c:v>4</c:v>
                </c:pt>
                <c:pt idx="56">
                  <c:v>24</c:v>
                </c:pt>
                <c:pt idx="57">
                  <c:v>24</c:v>
                </c:pt>
                <c:pt idx="58">
                  <c:v>12</c:v>
                </c:pt>
                <c:pt idx="59">
                  <c:v>14</c:v>
                </c:pt>
                <c:pt idx="60">
                  <c:v>10</c:v>
                </c:pt>
                <c:pt idx="61">
                  <c:v>6</c:v>
                </c:pt>
                <c:pt idx="62">
                  <c:v>21</c:v>
                </c:pt>
                <c:pt idx="63">
                  <c:v>28</c:v>
                </c:pt>
                <c:pt idx="64">
                  <c:v>11</c:v>
                </c:pt>
                <c:pt idx="65">
                  <c:v>18</c:v>
                </c:pt>
                <c:pt idx="66">
                  <c:v>7</c:v>
                </c:pt>
                <c:pt idx="67">
                  <c:v>1</c:v>
                </c:pt>
                <c:pt idx="68">
                  <c:v>16</c:v>
                </c:pt>
                <c:pt idx="69">
                  <c:v>10</c:v>
                </c:pt>
                <c:pt idx="70">
                  <c:v>11</c:v>
                </c:pt>
                <c:pt idx="71">
                  <c:v>4</c:v>
                </c:pt>
                <c:pt idx="72">
                  <c:v>9</c:v>
                </c:pt>
                <c:pt idx="73">
                  <c:v>11</c:v>
                </c:pt>
                <c:pt idx="74">
                  <c:v>24</c:v>
                </c:pt>
                <c:pt idx="75">
                  <c:v>5</c:v>
                </c:pt>
                <c:pt idx="76">
                  <c:v>21</c:v>
                </c:pt>
                <c:pt idx="77">
                  <c:v>12</c:v>
                </c:pt>
                <c:pt idx="78">
                  <c:v>8</c:v>
                </c:pt>
                <c:pt idx="79">
                  <c:v>5</c:v>
                </c:pt>
                <c:pt idx="80">
                  <c:v>1</c:v>
                </c:pt>
                <c:pt idx="81">
                  <c:v>26</c:v>
                </c:pt>
                <c:pt idx="82">
                  <c:v>5</c:v>
                </c:pt>
                <c:pt idx="83">
                  <c:v>22</c:v>
                </c:pt>
                <c:pt idx="84">
                  <c:v>2</c:v>
                </c:pt>
                <c:pt idx="85">
                  <c:v>18</c:v>
                </c:pt>
                <c:pt idx="86">
                  <c:v>17</c:v>
                </c:pt>
                <c:pt idx="87">
                  <c:v>11</c:v>
                </c:pt>
                <c:pt idx="88">
                  <c:v>11</c:v>
                </c:pt>
                <c:pt idx="89">
                  <c:v>23</c:v>
                </c:pt>
                <c:pt idx="90">
                  <c:v>8</c:v>
                </c:pt>
                <c:pt idx="91">
                  <c:v>28</c:v>
                </c:pt>
                <c:pt idx="92">
                  <c:v>29</c:v>
                </c:pt>
                <c:pt idx="93">
                  <c:v>20</c:v>
                </c:pt>
                <c:pt idx="94">
                  <c:v>14</c:v>
                </c:pt>
                <c:pt idx="95">
                  <c:v>26</c:v>
                </c:pt>
                <c:pt idx="96">
                  <c:v>28</c:v>
                </c:pt>
                <c:pt idx="97">
                  <c:v>13</c:v>
                </c:pt>
                <c:pt idx="98">
                  <c:v>9</c:v>
                </c:pt>
                <c:pt idx="99">
                  <c:v>2</c:v>
                </c:pt>
              </c:numCache>
            </c:numRef>
          </c:yVal>
          <c:smooth val="0"/>
          <c:extLst>
            <c:ext xmlns:c16="http://schemas.microsoft.com/office/drawing/2014/chart" uri="{C3380CC4-5D6E-409C-BE32-E72D297353CC}">
              <c16:uniqueId val="{00000000-A6C2-4AB4-9018-0C0DB5D73258}"/>
            </c:ext>
          </c:extLst>
        </c:ser>
        <c:dLbls>
          <c:showLegendKey val="0"/>
          <c:showVal val="0"/>
          <c:showCatName val="0"/>
          <c:showSerName val="0"/>
          <c:showPercent val="0"/>
          <c:showBubbleSize val="0"/>
        </c:dLbls>
        <c:axId val="764258863"/>
        <c:axId val="764259823"/>
      </c:scatterChart>
      <c:valAx>
        <c:axId val="76425886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IN">
                    <a:solidFill>
                      <a:schemeClr val="tx1"/>
                    </a:solidFill>
                  </a:rPr>
                  <a:t>inventory count</a:t>
                </a:r>
              </a:p>
            </c:rich>
          </c:tx>
          <c:overlay val="0"/>
          <c:spPr>
            <a:noFill/>
            <a:ln>
              <a:noFill/>
            </a:ln>
            <a:effectLst/>
          </c:spPr>
        </c:title>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64259823"/>
        <c:crosses val="autoZero"/>
        <c:crossBetween val="midCat"/>
      </c:valAx>
      <c:valAx>
        <c:axId val="76425982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IN">
                    <a:solidFill>
                      <a:schemeClr val="tx1"/>
                    </a:solidFill>
                  </a:rPr>
                  <a:t>Average Manufacturing Time</a:t>
                </a:r>
              </a:p>
            </c:rich>
          </c:tx>
          <c:overlay val="0"/>
          <c:spPr>
            <a:noFill/>
            <a:ln>
              <a:noFill/>
            </a:ln>
            <a:effectLst/>
          </c:sp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764258863"/>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Dashboard.xlsx]Supplier_&amp;_Manufacturing_Pivot!PivotTable19</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t>Supplier based manufacturing Time &amp; Cost</a:t>
            </a:r>
          </a:p>
        </c:rich>
      </c:tx>
      <c:layout>
        <c:manualLayout>
          <c:xMode val="edge"/>
          <c:yMode val="edge"/>
          <c:x val="9.0709840881043322E-2"/>
          <c:y val="0.12397929425488481"/>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1388888888888889"/>
            </c:manualLayout>
          </c:layout>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27A1E7F4-6F9A-4AEF-A340-DC78A40BC5F5}" type="VALUE">
                  <a:rPr lang="en-US"/>
                  <a:pPr>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21296296296296297"/>
            </c:manualLayout>
          </c:layout>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2F73EF5E-E4B5-43EA-BD25-D323CB961125}" type="VALUE">
                  <a:rPr lang="en-US"/>
                  <a:pPr>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6.0836489758492401E-2"/>
              <c:y val="-0.12962962962962968"/>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3.802280609905774E-2"/>
              <c:y val="-0.15740740740740744"/>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6471781719526941E-17"/>
              <c:y val="0.18055555555555555"/>
            </c:manualLayout>
          </c:layout>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437A0238-CD4E-4BF2-90A1-2E9F50CCD5F7}" type="VALUE">
                  <a:rPr lang="en-US"/>
                  <a:pPr>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7.6045612198115384E-2"/>
              <c:y val="-9.259259259259258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14351851851851843"/>
            </c:manualLayout>
          </c:layout>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C74B61D4-B678-460D-B718-96AAA86EDB6C}" type="VALUE">
                  <a:rPr lang="en-US"/>
                  <a:pPr>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9.8859295857550003E-2"/>
              <c:y val="-4.1666666666666664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06885501055756"/>
          <c:y val="0.26328484981044037"/>
          <c:w val="0.47317276465320107"/>
          <c:h val="0.50108996792067662"/>
        </c:manualLayout>
      </c:layout>
      <c:barChart>
        <c:barDir val="col"/>
        <c:grouping val="clustered"/>
        <c:varyColors val="0"/>
        <c:ser>
          <c:idx val="0"/>
          <c:order val="0"/>
          <c:tx>
            <c:strRef>
              <c:f>'Supplier_&amp;_Manufacturing_Pivot'!$B$1</c:f>
              <c:strCache>
                <c:ptCount val="1"/>
                <c:pt idx="0">
                  <c:v>Sum of Manufacturing lead time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3707-4E18-8E41-8519608E19E7}"/>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4-3707-4E18-8E41-8519608E19E7}"/>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7-3707-4E18-8E41-8519608E19E7}"/>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9-3707-4E18-8E41-8519608E19E7}"/>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B-3707-4E18-8E41-8519608E19E7}"/>
              </c:ext>
            </c:extLst>
          </c:dPt>
          <c:dLbls>
            <c:dLbl>
              <c:idx val="0"/>
              <c:layout>
                <c:manualLayout>
                  <c:x val="0"/>
                  <c:y val="0.1388888888888889"/>
                </c:manualLayout>
              </c:layout>
              <c:tx>
                <c:rich>
                  <a:bodyPr/>
                  <a:lstStyle/>
                  <a:p>
                    <a:fld id="{27A1E7F4-6F9A-4AEF-A340-DC78A40BC5F5}"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707-4E18-8E41-8519608E19E7}"/>
                </c:ext>
              </c:extLst>
            </c:dLbl>
            <c:dLbl>
              <c:idx val="1"/>
              <c:layout>
                <c:manualLayout>
                  <c:x val="0"/>
                  <c:y val="0.21296296296296297"/>
                </c:manualLayout>
              </c:layout>
              <c:tx>
                <c:rich>
                  <a:bodyPr/>
                  <a:lstStyle/>
                  <a:p>
                    <a:fld id="{2F73EF5E-E4B5-43EA-BD25-D323CB961125}"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707-4E18-8E41-8519608E19E7}"/>
                </c:ext>
              </c:extLst>
            </c:dLbl>
            <c:dLbl>
              <c:idx val="2"/>
              <c:layout>
                <c:manualLayout>
                  <c:x val="-4.6471781719526941E-17"/>
                  <c:y val="0.18055555555555555"/>
                </c:manualLayout>
              </c:layout>
              <c:tx>
                <c:rich>
                  <a:bodyPr/>
                  <a:lstStyle/>
                  <a:p>
                    <a:fld id="{437A0238-CD4E-4BF2-90A1-2E9F50CCD5F7}"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3707-4E18-8E41-8519608E19E7}"/>
                </c:ext>
              </c:extLst>
            </c:dLbl>
            <c:dLbl>
              <c:idx val="3"/>
              <c:layout>
                <c:manualLayout>
                  <c:x val="0"/>
                  <c:y val="0.14351851851851843"/>
                </c:manualLayout>
              </c:layout>
              <c:tx>
                <c:rich>
                  <a:bodyPr/>
                  <a:lstStyle/>
                  <a:p>
                    <a:fld id="{C74B61D4-B678-460D-B718-96AAA86EDB6C}"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3707-4E18-8E41-8519608E19E7}"/>
                </c:ext>
              </c:extLst>
            </c:dLbl>
            <c:dLbl>
              <c:idx val="4"/>
              <c:layout>
                <c:manualLayout>
                  <c:x val="0"/>
                  <c:y val="0.21296296296296297"/>
                </c:manualLayout>
              </c:layout>
              <c:tx>
                <c:rich>
                  <a:bodyPr/>
                  <a:lstStyle/>
                  <a:p>
                    <a:fld id="{2F73EF5E-E4B5-43EA-BD25-D323CB961125}"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3707-4E18-8E41-8519608E19E7}"/>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'Supplier_&amp;_Manufacturing_Pivot'!$A$2:$A$7</c:f>
              <c:strCache>
                <c:ptCount val="5"/>
                <c:pt idx="0">
                  <c:v>Supplier 1</c:v>
                </c:pt>
                <c:pt idx="1">
                  <c:v>Supplier 2</c:v>
                </c:pt>
                <c:pt idx="2">
                  <c:v>Supplier 3</c:v>
                </c:pt>
                <c:pt idx="3">
                  <c:v>Supplier 4</c:v>
                </c:pt>
                <c:pt idx="4">
                  <c:v>Supplier 5</c:v>
                </c:pt>
              </c:strCache>
            </c:strRef>
          </c:cat>
          <c:val>
            <c:numRef>
              <c:f>'Supplier_&amp;_Manufacturing_Pivot'!$B$2:$B$7</c:f>
              <c:numCache>
                <c:formatCode>General</c:formatCode>
                <c:ptCount val="5"/>
                <c:pt idx="0">
                  <c:v>340</c:v>
                </c:pt>
                <c:pt idx="1">
                  <c:v>343</c:v>
                </c:pt>
                <c:pt idx="2">
                  <c:v>224</c:v>
                </c:pt>
                <c:pt idx="3">
                  <c:v>276</c:v>
                </c:pt>
                <c:pt idx="4">
                  <c:v>294</c:v>
                </c:pt>
              </c:numCache>
            </c:numRef>
          </c:val>
          <c:extLst>
            <c:ext xmlns:c16="http://schemas.microsoft.com/office/drawing/2014/chart" uri="{C3380CC4-5D6E-409C-BE32-E72D297353CC}">
              <c16:uniqueId val="{00000000-3707-4E18-8E41-8519608E19E7}"/>
            </c:ext>
          </c:extLst>
        </c:ser>
        <c:dLbls>
          <c:showLegendKey val="0"/>
          <c:showVal val="1"/>
          <c:showCatName val="0"/>
          <c:showSerName val="0"/>
          <c:showPercent val="0"/>
          <c:showBubbleSize val="0"/>
        </c:dLbls>
        <c:gapWidth val="219"/>
        <c:axId val="1868437552"/>
        <c:axId val="1868414512"/>
      </c:barChart>
      <c:lineChart>
        <c:grouping val="stacked"/>
        <c:varyColors val="0"/>
        <c:ser>
          <c:idx val="1"/>
          <c:order val="1"/>
          <c:tx>
            <c:strRef>
              <c:f>'Supplier_&amp;_Manufacturing_Pivot'!$C$1</c:f>
              <c:strCache>
                <c:ptCount val="1"/>
                <c:pt idx="0">
                  <c:v>Sum of Manufacturing costs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5-3707-4E18-8E41-8519608E19E7}"/>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6-3707-4E18-8E41-8519608E19E7}"/>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8-3707-4E18-8E41-8519608E19E7}"/>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A-3707-4E18-8E41-8519608E19E7}"/>
              </c:ext>
            </c:extLst>
          </c:dPt>
          <c:dPt>
            <c:idx val="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C-3707-4E18-8E41-8519608E19E7}"/>
              </c:ext>
            </c:extLst>
          </c:dPt>
          <c:dLbls>
            <c:dLbl>
              <c:idx val="0"/>
              <c:layout>
                <c:manualLayout>
                  <c:x val="-6.0836489758492401E-2"/>
                  <c:y val="-0.129629629629629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07-4E18-8E41-8519608E19E7}"/>
                </c:ext>
              </c:extLst>
            </c:dLbl>
            <c:dLbl>
              <c:idx val="1"/>
              <c:layout>
                <c:manualLayout>
                  <c:x val="-3.802280609905774E-2"/>
                  <c:y val="-0.15740740740740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07-4E18-8E41-8519608E19E7}"/>
                </c:ext>
              </c:extLst>
            </c:dLbl>
            <c:dLbl>
              <c:idx val="2"/>
              <c:layout>
                <c:manualLayout>
                  <c:x val="-7.6045612198115384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07-4E18-8E41-8519608E19E7}"/>
                </c:ext>
              </c:extLst>
            </c:dLbl>
            <c:dLbl>
              <c:idx val="3"/>
              <c:layout>
                <c:manualLayout>
                  <c:x val="-9.885929585755000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07-4E18-8E41-8519608E19E7}"/>
                </c:ext>
              </c:extLst>
            </c:dLbl>
            <c:dLbl>
              <c:idx val="4"/>
              <c:layout>
                <c:manualLayout>
                  <c:x val="-6.0836489758492401E-2"/>
                  <c:y val="-0.129629629629629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707-4E18-8E41-8519608E19E7}"/>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'Supplier_&amp;_Manufacturing_Pivot'!$A$2:$A$7</c:f>
              <c:strCache>
                <c:ptCount val="5"/>
                <c:pt idx="0">
                  <c:v>Supplier 1</c:v>
                </c:pt>
                <c:pt idx="1">
                  <c:v>Supplier 2</c:v>
                </c:pt>
                <c:pt idx="2">
                  <c:v>Supplier 3</c:v>
                </c:pt>
                <c:pt idx="3">
                  <c:v>Supplier 4</c:v>
                </c:pt>
                <c:pt idx="4">
                  <c:v>Supplier 5</c:v>
                </c:pt>
              </c:strCache>
            </c:strRef>
          </c:cat>
          <c:val>
            <c:numRef>
              <c:f>'Supplier_&amp;_Manufacturing_Pivot'!$C$2:$C$7</c:f>
              <c:numCache>
                <c:formatCode>_ [$₹-4009]\ * #,##0.00_ ;_ [$₹-4009]\ * \-#,##0.00_ ;_ [$₹-4009]\ * "-"??_ ;_ @_ </c:formatCode>
                <c:ptCount val="5"/>
                <c:pt idx="0">
                  <c:v>1221.8589000000002</c:v>
                </c:pt>
                <c:pt idx="1">
                  <c:v>915.69540000000006</c:v>
                </c:pt>
                <c:pt idx="2">
                  <c:v>654.51200000000006</c:v>
                </c:pt>
                <c:pt idx="3">
                  <c:v>1128.7753</c:v>
                </c:pt>
                <c:pt idx="4">
                  <c:v>805.82819999999992</c:v>
                </c:pt>
              </c:numCache>
            </c:numRef>
          </c:val>
          <c:smooth val="0"/>
          <c:extLst>
            <c:ext xmlns:c16="http://schemas.microsoft.com/office/drawing/2014/chart" uri="{C3380CC4-5D6E-409C-BE32-E72D297353CC}">
              <c16:uniqueId val="{00000001-3707-4E18-8E41-8519608E19E7}"/>
            </c:ext>
          </c:extLst>
        </c:ser>
        <c:dLbls>
          <c:showLegendKey val="0"/>
          <c:showVal val="1"/>
          <c:showCatName val="0"/>
          <c:showSerName val="0"/>
          <c:showPercent val="0"/>
          <c:showBubbleSize val="0"/>
        </c:dLbls>
        <c:marker val="1"/>
        <c:smooth val="0"/>
        <c:axId val="1868427472"/>
        <c:axId val="1868421232"/>
      </c:lineChart>
      <c:catAx>
        <c:axId val="1868437552"/>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Suppliers</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414512"/>
        <c:crosses val="autoZero"/>
        <c:auto val="1"/>
        <c:lblAlgn val="ctr"/>
        <c:lblOffset val="100"/>
        <c:noMultiLvlLbl val="0"/>
      </c:catAx>
      <c:valAx>
        <c:axId val="18684145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Manufacturing Time (in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437552"/>
        <c:crosses val="autoZero"/>
        <c:crossBetween val="between"/>
      </c:valAx>
      <c:valAx>
        <c:axId val="1868421232"/>
        <c:scaling>
          <c:orientation val="minMax"/>
        </c:scaling>
        <c:delete val="0"/>
        <c:axPos val="r"/>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Manufacturing Cost</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427472"/>
        <c:crosses val="max"/>
        <c:crossBetween val="between"/>
      </c:valAx>
      <c:catAx>
        <c:axId val="1868427472"/>
        <c:scaling>
          <c:orientation val="minMax"/>
        </c:scaling>
        <c:delete val="1"/>
        <c:axPos val="b"/>
        <c:numFmt formatCode="General" sourceLinked="1"/>
        <c:majorTickMark val="none"/>
        <c:minorTickMark val="none"/>
        <c:tickLblPos val="nextTo"/>
        <c:crossAx val="1868421232"/>
        <c:crosses val="autoZero"/>
        <c:auto val="1"/>
        <c:lblAlgn val="ctr"/>
        <c:lblOffset val="100"/>
        <c:noMultiLvlLbl val="0"/>
      </c:catAx>
      <c:spPr>
        <a:noFill/>
        <a:ln>
          <a:noFill/>
        </a:ln>
        <a:effectLst/>
      </c:spPr>
    </c:plotArea>
    <c:legend>
      <c:legendPos val="r"/>
      <c:layout>
        <c:manualLayout>
          <c:xMode val="edge"/>
          <c:yMode val="edge"/>
          <c:x val="0.78073515149543393"/>
          <c:y val="0.26402777777777775"/>
          <c:w val="0.17870718866557117"/>
          <c:h val="0.5834722222222221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Dashboard.xlsx]Supplier_&amp;_Manufacturing_Pivot!PivotTable20</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t>Inspection Result</a:t>
            </a:r>
          </a:p>
        </c:rich>
      </c:tx>
      <c:layout>
        <c:manualLayout>
          <c:xMode val="edge"/>
          <c:yMode val="edge"/>
          <c:x val="0.41710402432160903"/>
          <c:y val="4.5275590551181105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12314085739289"/>
          <c:y val="0.16347003499562554"/>
          <c:w val="0.38221019247594057"/>
          <c:h val="0.6366072470107903"/>
        </c:manualLayout>
      </c:layout>
      <c:barChart>
        <c:barDir val="bar"/>
        <c:grouping val="clustered"/>
        <c:varyColors val="0"/>
        <c:ser>
          <c:idx val="0"/>
          <c:order val="0"/>
          <c:tx>
            <c:strRef>
              <c:f>'Supplier_&amp;_Manufacturing_Pivot'!$B$9:$B$10</c:f>
              <c:strCache>
                <c:ptCount val="1"/>
                <c:pt idx="0">
                  <c:v>Fail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'Supplier_&amp;_Manufacturing_Pivot'!$A$11:$A$16</c:f>
              <c:strCache>
                <c:ptCount val="5"/>
                <c:pt idx="0">
                  <c:v>Supplier 1</c:v>
                </c:pt>
                <c:pt idx="1">
                  <c:v>Supplier 2</c:v>
                </c:pt>
                <c:pt idx="2">
                  <c:v>Supplier 3</c:v>
                </c:pt>
                <c:pt idx="3">
                  <c:v>Supplier 4</c:v>
                </c:pt>
                <c:pt idx="4">
                  <c:v>Supplier 5</c:v>
                </c:pt>
              </c:strCache>
            </c:strRef>
          </c:cat>
          <c:val>
            <c:numRef>
              <c:f>'Supplier_&amp;_Manufacturing_Pivot'!$B$11:$B$16</c:f>
              <c:numCache>
                <c:formatCode>General</c:formatCode>
                <c:ptCount val="5"/>
                <c:pt idx="0">
                  <c:v>1985</c:v>
                </c:pt>
                <c:pt idx="1">
                  <c:v>4925</c:v>
                </c:pt>
                <c:pt idx="2">
                  <c:v>1121</c:v>
                </c:pt>
                <c:pt idx="3">
                  <c:v>7728</c:v>
                </c:pt>
                <c:pt idx="4">
                  <c:v>3094</c:v>
                </c:pt>
              </c:numCache>
            </c:numRef>
          </c:val>
          <c:extLst>
            <c:ext xmlns:c16="http://schemas.microsoft.com/office/drawing/2014/chart" uri="{C3380CC4-5D6E-409C-BE32-E72D297353CC}">
              <c16:uniqueId val="{00000000-CF04-4C7F-9FED-434E82BA47D2}"/>
            </c:ext>
          </c:extLst>
        </c:ser>
        <c:ser>
          <c:idx val="1"/>
          <c:order val="1"/>
          <c:tx>
            <c:strRef>
              <c:f>'Supplier_&amp;_Manufacturing_Pivot'!$C$9:$C$10</c:f>
              <c:strCache>
                <c:ptCount val="1"/>
                <c:pt idx="0">
                  <c:v>Pass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'Supplier_&amp;_Manufacturing_Pivot'!$A$11:$A$16</c:f>
              <c:strCache>
                <c:ptCount val="5"/>
                <c:pt idx="0">
                  <c:v>Supplier 1</c:v>
                </c:pt>
                <c:pt idx="1">
                  <c:v>Supplier 2</c:v>
                </c:pt>
                <c:pt idx="2">
                  <c:v>Supplier 3</c:v>
                </c:pt>
                <c:pt idx="3">
                  <c:v>Supplier 4</c:v>
                </c:pt>
                <c:pt idx="4">
                  <c:v>Supplier 5</c:v>
                </c:pt>
              </c:strCache>
            </c:strRef>
          </c:cat>
          <c:val>
            <c:numRef>
              <c:f>'Supplier_&amp;_Manufacturing_Pivot'!$C$11:$C$16</c:f>
              <c:numCache>
                <c:formatCode>General</c:formatCode>
                <c:ptCount val="5"/>
                <c:pt idx="0">
                  <c:v>6394</c:v>
                </c:pt>
                <c:pt idx="1">
                  <c:v>3295</c:v>
                </c:pt>
                <c:pt idx="2">
                  <c:v>1322</c:v>
                </c:pt>
                <c:pt idx="4">
                  <c:v>1596</c:v>
                </c:pt>
              </c:numCache>
            </c:numRef>
          </c:val>
          <c:extLst>
            <c:ext xmlns:c16="http://schemas.microsoft.com/office/drawing/2014/chart" uri="{C3380CC4-5D6E-409C-BE32-E72D297353CC}">
              <c16:uniqueId val="{00000000-44DD-4F41-B119-5674BD6F8BC4}"/>
            </c:ext>
          </c:extLst>
        </c:ser>
        <c:ser>
          <c:idx val="2"/>
          <c:order val="2"/>
          <c:tx>
            <c:strRef>
              <c:f>'Supplier_&amp;_Manufacturing_Pivot'!$D$9:$D$10</c:f>
              <c:strCache>
                <c:ptCount val="1"/>
                <c:pt idx="0">
                  <c:v>Pending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'Supplier_&amp;_Manufacturing_Pivot'!$A$11:$A$16</c:f>
              <c:strCache>
                <c:ptCount val="5"/>
                <c:pt idx="0">
                  <c:v>Supplier 1</c:v>
                </c:pt>
                <c:pt idx="1">
                  <c:v>Supplier 2</c:v>
                </c:pt>
                <c:pt idx="2">
                  <c:v>Supplier 3</c:v>
                </c:pt>
                <c:pt idx="3">
                  <c:v>Supplier 4</c:v>
                </c:pt>
                <c:pt idx="4">
                  <c:v>Supplier 5</c:v>
                </c:pt>
              </c:strCache>
            </c:strRef>
          </c:cat>
          <c:val>
            <c:numRef>
              <c:f>'Supplier_&amp;_Manufacturing_Pivot'!$D$11:$D$16</c:f>
              <c:numCache>
                <c:formatCode>General</c:formatCode>
                <c:ptCount val="5"/>
                <c:pt idx="0">
                  <c:v>5166</c:v>
                </c:pt>
                <c:pt idx="1">
                  <c:v>5885</c:v>
                </c:pt>
                <c:pt idx="2">
                  <c:v>5554</c:v>
                </c:pt>
                <c:pt idx="3">
                  <c:v>4028</c:v>
                </c:pt>
                <c:pt idx="4">
                  <c:v>4691</c:v>
                </c:pt>
              </c:numCache>
            </c:numRef>
          </c:val>
          <c:extLst>
            <c:ext xmlns:c16="http://schemas.microsoft.com/office/drawing/2014/chart" uri="{C3380CC4-5D6E-409C-BE32-E72D297353CC}">
              <c16:uniqueId val="{00000001-44DD-4F41-B119-5674BD6F8BC4}"/>
            </c:ext>
          </c:extLst>
        </c:ser>
        <c:dLbls>
          <c:dLblPos val="outEnd"/>
          <c:showLegendKey val="0"/>
          <c:showVal val="1"/>
          <c:showCatName val="0"/>
          <c:showSerName val="0"/>
          <c:showPercent val="0"/>
          <c:showBubbleSize val="0"/>
        </c:dLbls>
        <c:gapWidth val="115"/>
        <c:overlap val="-20"/>
        <c:axId val="1040630800"/>
        <c:axId val="1040626000"/>
      </c:barChart>
      <c:catAx>
        <c:axId val="1040630800"/>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IN"/>
                  <a:t>Suppliers</a:t>
                </a:r>
              </a:p>
            </c:rich>
          </c:tx>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40626000"/>
        <c:crosses val="autoZero"/>
        <c:auto val="1"/>
        <c:lblAlgn val="ctr"/>
        <c:lblOffset val="100"/>
        <c:noMultiLvlLbl val="0"/>
      </c:catAx>
      <c:valAx>
        <c:axId val="1040626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IN"/>
                  <a:t>Production Volume</a:t>
                </a:r>
              </a:p>
            </c:rich>
          </c:tx>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4063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Dashboard.xlsx]Supplier_&amp;_Manufacturing_Pivot!PivotTable21</c:name>
    <c:fmtId val="6"/>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US"/>
              <a:t>Defect rate of each supplier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'Supplier_&amp;_Manufacturing_Pivot'!$B$18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6A0-4FD4-A022-38A1FF35020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6A0-4FD4-A022-38A1FF35020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6A0-4FD4-A022-38A1FF35020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6A0-4FD4-A022-38A1FF35020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6A0-4FD4-A022-38A1FF35020F}"/>
              </c:ext>
            </c:extLst>
          </c:dPt>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'Supplier_&amp;_Manufacturing_Pivot'!$A$19:$A$24</c:f>
              <c:strCache>
                <c:ptCount val="5"/>
                <c:pt idx="0">
                  <c:v>Supplier 1</c:v>
                </c:pt>
                <c:pt idx="1">
                  <c:v>Supplier 2</c:v>
                </c:pt>
                <c:pt idx="2">
                  <c:v>Supplier 3</c:v>
                </c:pt>
                <c:pt idx="3">
                  <c:v>Supplier 4</c:v>
                </c:pt>
                <c:pt idx="4">
                  <c:v>Supplier 5</c:v>
                </c:pt>
              </c:strCache>
            </c:strRef>
          </c:cat>
          <c:val>
            <c:numRef>
              <c:f>'Supplier_&amp;_Manufacturing_Pivot'!$B$19:$B$24</c:f>
              <c:numCache>
                <c:formatCode>General</c:formatCode>
                <c:ptCount val="5"/>
                <c:pt idx="0">
                  <c:v>1.8036297116882525</c:v>
                </c:pt>
                <c:pt idx="1">
                  <c:v>2.3627501450718813</c:v>
                </c:pt>
                <c:pt idx="2">
                  <c:v>2.4657860307644701</c:v>
                </c:pt>
                <c:pt idx="3">
                  <c:v>2.3373974005913398</c:v>
                </c:pt>
                <c:pt idx="4">
                  <c:v>2.6654083441492014</c:v>
                </c:pt>
              </c:numCache>
            </c:numRef>
          </c:val>
          <c:extLst>
            <c:ext xmlns:c16="http://schemas.microsoft.com/office/drawing/2014/chart" uri="{C3380CC4-5D6E-409C-BE32-E72D297353CC}">
              <c16:uniqueId val="{00000000-1795-4BE5-93D5-9A193077227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Dashboard.xlsx]Supplier_&amp;_Manufacturing_Pivot!PivotTable1</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t>Each Supplier's Transportation Rout and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'Supplier_&amp;_Manufacturing_Pivot'!$B$26:$B$27</c:f>
              <c:strCache>
                <c:ptCount val="1"/>
                <c:pt idx="0">
                  <c:v>Air</c:v>
                </c:pt>
              </c:strCache>
            </c:strRef>
          </c:tx>
          <c:spPr>
            <a:solidFill>
              <a:schemeClr val="accent1"/>
            </a:solidFill>
            <a:ln>
              <a:noFill/>
            </a:ln>
            <a:effectLst/>
          </c:spPr>
          <c:invertIfNegative val="0"/>
          <c:cat>
            <c:strRef>
              <c:f>'Supplier_&amp;_Manufacturing_Pivot'!$A$28:$A$33</c:f>
              <c:strCache>
                <c:ptCount val="5"/>
                <c:pt idx="0">
                  <c:v>Supplier 1</c:v>
                </c:pt>
                <c:pt idx="1">
                  <c:v>Supplier 2</c:v>
                </c:pt>
                <c:pt idx="2">
                  <c:v>Supplier 3</c:v>
                </c:pt>
                <c:pt idx="3">
                  <c:v>Supplier 4</c:v>
                </c:pt>
                <c:pt idx="4">
                  <c:v>Supplier 5</c:v>
                </c:pt>
              </c:strCache>
            </c:strRef>
          </c:cat>
          <c:val>
            <c:numRef>
              <c:f>'Supplier_&amp;_Manufacturing_Pivot'!$B$28:$B$33</c:f>
              <c:numCache>
                <c:formatCode>_ [$₹-4009]\ * #,##0.00_ ;_ [$₹-4009]\ * \-#,##0.00_ ;_ [$₹-4009]\ * "-"??_ ;_ @_ </c:formatCode>
                <c:ptCount val="5"/>
                <c:pt idx="0">
                  <c:v>8291.1406999999999</c:v>
                </c:pt>
                <c:pt idx="1">
                  <c:v>1942.9297999999999</c:v>
                </c:pt>
                <c:pt idx="2">
                  <c:v>351.50420000000003</c:v>
                </c:pt>
                <c:pt idx="3">
                  <c:v>1974.4177</c:v>
                </c:pt>
                <c:pt idx="4">
                  <c:v>2044.5349000000001</c:v>
                </c:pt>
              </c:numCache>
            </c:numRef>
          </c:val>
          <c:extLst>
            <c:ext xmlns:c16="http://schemas.microsoft.com/office/drawing/2014/chart" uri="{C3380CC4-5D6E-409C-BE32-E72D297353CC}">
              <c16:uniqueId val="{00000000-5EC7-4A82-A8E7-89E8B62834FE}"/>
            </c:ext>
          </c:extLst>
        </c:ser>
        <c:ser>
          <c:idx val="1"/>
          <c:order val="1"/>
          <c:tx>
            <c:strRef>
              <c:f>'Supplier_&amp;_Manufacturing_Pivot'!$C$26:$C$27</c:f>
              <c:strCache>
                <c:ptCount val="1"/>
                <c:pt idx="0">
                  <c:v>Rail</c:v>
                </c:pt>
              </c:strCache>
            </c:strRef>
          </c:tx>
          <c:spPr>
            <a:solidFill>
              <a:schemeClr val="accent2"/>
            </a:solidFill>
            <a:ln>
              <a:noFill/>
            </a:ln>
            <a:effectLst/>
          </c:spPr>
          <c:invertIfNegative val="0"/>
          <c:cat>
            <c:strRef>
              <c:f>'Supplier_&amp;_Manufacturing_Pivot'!$A$28:$A$33</c:f>
              <c:strCache>
                <c:ptCount val="5"/>
                <c:pt idx="0">
                  <c:v>Supplier 1</c:v>
                </c:pt>
                <c:pt idx="1">
                  <c:v>Supplier 2</c:v>
                </c:pt>
                <c:pt idx="2">
                  <c:v>Supplier 3</c:v>
                </c:pt>
                <c:pt idx="3">
                  <c:v>Supplier 4</c:v>
                </c:pt>
                <c:pt idx="4">
                  <c:v>Supplier 5</c:v>
                </c:pt>
              </c:strCache>
            </c:strRef>
          </c:cat>
          <c:val>
            <c:numRef>
              <c:f>'Supplier_&amp;_Manufacturing_Pivot'!$C$28:$C$33</c:f>
              <c:numCache>
                <c:formatCode>_ [$₹-4009]\ * #,##0.00_ ;_ [$₹-4009]\ * \-#,##0.00_ ;_ [$₹-4009]\ * "-"??_ ;_ @_ </c:formatCode>
                <c:ptCount val="5"/>
                <c:pt idx="0">
                  <c:v>2041.3018999999999</c:v>
                </c:pt>
                <c:pt idx="1">
                  <c:v>7051.2680999999993</c:v>
                </c:pt>
                <c:pt idx="2">
                  <c:v>1876.2359999999999</c:v>
                </c:pt>
                <c:pt idx="3">
                  <c:v>1974.0720999999999</c:v>
                </c:pt>
                <c:pt idx="4">
                  <c:v>2226.0537999999997</c:v>
                </c:pt>
              </c:numCache>
            </c:numRef>
          </c:val>
          <c:extLst>
            <c:ext xmlns:c16="http://schemas.microsoft.com/office/drawing/2014/chart" uri="{C3380CC4-5D6E-409C-BE32-E72D297353CC}">
              <c16:uniqueId val="{00000000-B627-4167-AC6E-F9C2D189F1BB}"/>
            </c:ext>
          </c:extLst>
        </c:ser>
        <c:ser>
          <c:idx val="2"/>
          <c:order val="2"/>
          <c:tx>
            <c:strRef>
              <c:f>'Supplier_&amp;_Manufacturing_Pivot'!$D$26:$D$27</c:f>
              <c:strCache>
                <c:ptCount val="1"/>
                <c:pt idx="0">
                  <c:v>Road</c:v>
                </c:pt>
              </c:strCache>
            </c:strRef>
          </c:tx>
          <c:spPr>
            <a:solidFill>
              <a:schemeClr val="accent3"/>
            </a:solidFill>
            <a:ln>
              <a:noFill/>
            </a:ln>
            <a:effectLst/>
          </c:spPr>
          <c:invertIfNegative val="0"/>
          <c:cat>
            <c:strRef>
              <c:f>'Supplier_&amp;_Manufacturing_Pivot'!$A$28:$A$33</c:f>
              <c:strCache>
                <c:ptCount val="5"/>
                <c:pt idx="0">
                  <c:v>Supplier 1</c:v>
                </c:pt>
                <c:pt idx="1">
                  <c:v>Supplier 2</c:v>
                </c:pt>
                <c:pt idx="2">
                  <c:v>Supplier 3</c:v>
                </c:pt>
                <c:pt idx="3">
                  <c:v>Supplier 4</c:v>
                </c:pt>
                <c:pt idx="4">
                  <c:v>Supplier 5</c:v>
                </c:pt>
              </c:strCache>
            </c:strRef>
          </c:cat>
          <c:val>
            <c:numRef>
              <c:f>'Supplier_&amp;_Manufacturing_Pivot'!$D$28:$D$33</c:f>
              <c:numCache>
                <c:formatCode>_ [$₹-4009]\ * #,##0.00_ ;_ [$₹-4009]\ * \-#,##0.00_ ;_ [$₹-4009]\ * "-"??_ ;_ @_ </c:formatCode>
                <c:ptCount val="5"/>
                <c:pt idx="0">
                  <c:v>4337.9840999999997</c:v>
                </c:pt>
                <c:pt idx="1">
                  <c:v>995.14570000000003</c:v>
                </c:pt>
                <c:pt idx="2">
                  <c:v>2131.5338999999999</c:v>
                </c:pt>
                <c:pt idx="3">
                  <c:v>4663.0159999999996</c:v>
                </c:pt>
                <c:pt idx="4">
                  <c:v>3920.5137</c:v>
                </c:pt>
              </c:numCache>
            </c:numRef>
          </c:val>
          <c:extLst>
            <c:ext xmlns:c16="http://schemas.microsoft.com/office/drawing/2014/chart" uri="{C3380CC4-5D6E-409C-BE32-E72D297353CC}">
              <c16:uniqueId val="{00000001-B627-4167-AC6E-F9C2D189F1BB}"/>
            </c:ext>
          </c:extLst>
        </c:ser>
        <c:ser>
          <c:idx val="3"/>
          <c:order val="3"/>
          <c:tx>
            <c:strRef>
              <c:f>'Supplier_&amp;_Manufacturing_Pivot'!$E$26:$E$27</c:f>
              <c:strCache>
                <c:ptCount val="1"/>
                <c:pt idx="0">
                  <c:v>Sea</c:v>
                </c:pt>
              </c:strCache>
            </c:strRef>
          </c:tx>
          <c:spPr>
            <a:solidFill>
              <a:schemeClr val="accent4"/>
            </a:solidFill>
            <a:ln>
              <a:noFill/>
            </a:ln>
            <a:effectLst/>
          </c:spPr>
          <c:invertIfNegative val="0"/>
          <c:cat>
            <c:strRef>
              <c:f>'Supplier_&amp;_Manufacturing_Pivot'!$A$28:$A$33</c:f>
              <c:strCache>
                <c:ptCount val="5"/>
                <c:pt idx="0">
                  <c:v>Supplier 1</c:v>
                </c:pt>
                <c:pt idx="1">
                  <c:v>Supplier 2</c:v>
                </c:pt>
                <c:pt idx="2">
                  <c:v>Supplier 3</c:v>
                </c:pt>
                <c:pt idx="3">
                  <c:v>Supplier 4</c:v>
                </c:pt>
                <c:pt idx="4">
                  <c:v>Supplier 5</c:v>
                </c:pt>
              </c:strCache>
            </c:strRef>
          </c:cat>
          <c:val>
            <c:numRef>
              <c:f>'Supplier_&amp;_Manufacturing_Pivot'!$E$28:$E$33</c:f>
              <c:numCache>
                <c:formatCode>_ [$₹-4009]\ * #,##0.00_ ;_ [$₹-4009]\ * \-#,##0.00_ ;_ [$₹-4009]\ * "-"??_ ;_ @_ </c:formatCode>
                <c:ptCount val="5"/>
                <c:pt idx="0">
                  <c:v>850.55409999999995</c:v>
                </c:pt>
                <c:pt idx="1">
                  <c:v>1341.2559000000001</c:v>
                </c:pt>
                <c:pt idx="2">
                  <c:v>2672.7273999999998</c:v>
                </c:pt>
                <c:pt idx="3">
                  <c:v>781.08150000000001</c:v>
                </c:pt>
                <c:pt idx="4">
                  <c:v>1457.3067000000001</c:v>
                </c:pt>
              </c:numCache>
            </c:numRef>
          </c:val>
          <c:extLst>
            <c:ext xmlns:c16="http://schemas.microsoft.com/office/drawing/2014/chart" uri="{C3380CC4-5D6E-409C-BE32-E72D297353CC}">
              <c16:uniqueId val="{00000002-B627-4167-AC6E-F9C2D189F1BB}"/>
            </c:ext>
          </c:extLst>
        </c:ser>
        <c:dLbls>
          <c:showLegendKey val="0"/>
          <c:showVal val="0"/>
          <c:showCatName val="0"/>
          <c:showSerName val="0"/>
          <c:showPercent val="0"/>
          <c:showBubbleSize val="0"/>
        </c:dLbls>
        <c:gapWidth val="219"/>
        <c:overlap val="-27"/>
        <c:axId val="839117583"/>
        <c:axId val="839097903"/>
      </c:barChart>
      <c:catAx>
        <c:axId val="839117583"/>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Supplier</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39097903"/>
        <c:crosses val="autoZero"/>
        <c:auto val="1"/>
        <c:lblAlgn val="ctr"/>
        <c:lblOffset val="100"/>
        <c:noMultiLvlLbl val="0"/>
      </c:catAx>
      <c:valAx>
        <c:axId val="83909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Logistic 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3911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300" b="1" i="0" u="none" strike="noStrike" baseline="0">
                <a:latin typeface="Times New Roman" panose="02020603050405020304" pitchFamily="18" charset="0"/>
                <a:cs typeface="Times New Roman" panose="02020603050405020304" pitchFamily="18" charset="0"/>
              </a:rPr>
              <a:t>On-Time Delivery %</a:t>
            </a:r>
            <a:endParaRPr lang="en-IN" sz="1300" b="1">
              <a:latin typeface="Times New Roman" panose="02020603050405020304" pitchFamily="18" charset="0"/>
              <a:cs typeface="Times New Roman" panose="02020603050405020304" pitchFamily="18" charset="0"/>
            </a:endParaRPr>
          </a:p>
        </c:rich>
      </c:tx>
      <c:layout>
        <c:manualLayout>
          <c:xMode val="edge"/>
          <c:yMode val="edge"/>
          <c:x val="0.33231233595800524"/>
          <c:y val="0.63425925925925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6805555555555555"/>
          <c:y val="0.22453703703703703"/>
          <c:w val="0.46388888888888891"/>
          <c:h val="0.77314814814814814"/>
        </c:manualLayout>
      </c:layout>
      <c:doughnutChart>
        <c:varyColors val="1"/>
        <c:ser>
          <c:idx val="0"/>
          <c:order val="0"/>
          <c:tx>
            <c:strRef>
              <c:f>Supply_Chain_Pivot!$B$6</c:f>
              <c:strCache>
                <c:ptCount val="1"/>
                <c:pt idx="0">
                  <c:v>value</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52B9-45BF-9B9F-8CA9A6BC8F5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52B9-45BF-9B9F-8CA9A6BC8F5F}"/>
              </c:ext>
            </c:extLst>
          </c:dPt>
          <c:dPt>
            <c:idx val="2"/>
            <c:bubble3D val="0"/>
            <c:spPr>
              <a:noFill/>
              <a:ln w="19050">
                <a:solidFill>
                  <a:schemeClr val="lt1"/>
                </a:solidFill>
              </a:ln>
              <a:effectLst/>
            </c:spPr>
            <c:extLst>
              <c:ext xmlns:c16="http://schemas.microsoft.com/office/drawing/2014/chart" uri="{C3380CC4-5D6E-409C-BE32-E72D297353CC}">
                <c16:uniqueId val="{00000001-52B9-45BF-9B9F-8CA9A6BC8F5F}"/>
              </c:ext>
            </c:extLst>
          </c:dPt>
          <c:dLbls>
            <c:dLbl>
              <c:idx val="0"/>
              <c:tx>
                <c:rich>
                  <a:bodyPr/>
                  <a:lstStyle/>
                  <a:p>
                    <a:fld id="{469D581E-49C0-42B7-812D-8E9A32FBCF54}"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2B9-45BF-9B9F-8CA9A6BC8F5F}"/>
                </c:ext>
              </c:extLst>
            </c:dLbl>
            <c:dLbl>
              <c:idx val="1"/>
              <c:delete val="1"/>
              <c:extLst>
                <c:ext xmlns:c15="http://schemas.microsoft.com/office/drawing/2012/chart" uri="{CE6537A1-D6FC-4f65-9D91-7224C49458BB}"/>
                <c:ext xmlns:c16="http://schemas.microsoft.com/office/drawing/2014/chart" uri="{C3380CC4-5D6E-409C-BE32-E72D297353CC}">
                  <c16:uniqueId val="{00000003-52B9-45BF-9B9F-8CA9A6BC8F5F}"/>
                </c:ext>
              </c:extLst>
            </c:dLbl>
            <c:dLbl>
              <c:idx val="2"/>
              <c:delete val="1"/>
              <c:extLst>
                <c:ext xmlns:c15="http://schemas.microsoft.com/office/drawing/2012/chart" uri="{CE6537A1-D6FC-4f65-9D91-7224C49458BB}"/>
                <c:ext xmlns:c16="http://schemas.microsoft.com/office/drawing/2014/chart" uri="{C3380CC4-5D6E-409C-BE32-E72D297353CC}">
                  <c16:uniqueId val="{00000001-52B9-45BF-9B9F-8CA9A6BC8F5F}"/>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Supply_Chain_Pivot!$A$7:$A$9</c:f>
              <c:strCache>
                <c:ptCount val="3"/>
                <c:pt idx="0">
                  <c:v>Actual</c:v>
                </c:pt>
                <c:pt idx="1">
                  <c:v>Remaining</c:v>
                </c:pt>
                <c:pt idx="2">
                  <c:v>spacer</c:v>
                </c:pt>
              </c:strCache>
            </c:strRef>
          </c:cat>
          <c:val>
            <c:numRef>
              <c:f>Supply_Chain_Pivot!$B$7:$B$9</c:f>
              <c:numCache>
                <c:formatCode>0%</c:formatCode>
                <c:ptCount val="3"/>
                <c:pt idx="0">
                  <c:v>0.87</c:v>
                </c:pt>
                <c:pt idx="1">
                  <c:v>0.13</c:v>
                </c:pt>
                <c:pt idx="2" formatCode="General">
                  <c:v>1</c:v>
                </c:pt>
              </c:numCache>
            </c:numRef>
          </c:val>
          <c:extLst>
            <c:ext xmlns:c16="http://schemas.microsoft.com/office/drawing/2014/chart" uri="{C3380CC4-5D6E-409C-BE32-E72D297353CC}">
              <c16:uniqueId val="{00000000-52B9-45BF-9B9F-8CA9A6BC8F5F}"/>
            </c:ext>
          </c:extLst>
        </c:ser>
        <c:dLbls>
          <c:showLegendKey val="0"/>
          <c:showVal val="1"/>
          <c:showCatName val="0"/>
          <c:showSerName val="0"/>
          <c:showPercent val="0"/>
          <c:showBubbleSize val="0"/>
          <c:showLeaderLines val="1"/>
        </c:dLbls>
        <c:firstSliceAng val="27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IN" sz="1300" b="1" i="0" u="none" strike="noStrike" baseline="0">
                <a:latin typeface="Times New Roman" panose="02020603050405020304" pitchFamily="18" charset="0"/>
                <a:cs typeface="Times New Roman" panose="02020603050405020304" pitchFamily="18" charset="0"/>
              </a:rPr>
              <a:t>Sell-Through Rate %</a:t>
            </a:r>
            <a:endParaRPr lang="en-US" sz="1300" b="1">
              <a:latin typeface="Times New Roman" panose="02020603050405020304" pitchFamily="18" charset="0"/>
              <a:cs typeface="Times New Roman" panose="02020603050405020304" pitchFamily="18" charset="0"/>
            </a:endParaRPr>
          </a:p>
        </c:rich>
      </c:tx>
      <c:layout>
        <c:manualLayout>
          <c:xMode val="edge"/>
          <c:yMode val="edge"/>
          <c:x val="0.3522777777777778"/>
          <c:y val="0.57870370370370372"/>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495494313210849"/>
          <c:y val="0.21073490813648293"/>
          <c:w val="0.39175678040244977"/>
          <c:h val="0.6529279673374162"/>
        </c:manualLayout>
      </c:layout>
      <c:doughnutChart>
        <c:varyColors val="1"/>
        <c:ser>
          <c:idx val="0"/>
          <c:order val="0"/>
          <c:tx>
            <c:strRef>
              <c:f>Supply_Chain_Pivot!$B$11</c:f>
              <c:strCache>
                <c:ptCount val="1"/>
                <c:pt idx="0">
                  <c:v>value</c:v>
                </c:pt>
              </c:strCache>
            </c:strRef>
          </c:tx>
          <c:dPt>
            <c:idx val="0"/>
            <c:bubble3D val="0"/>
            <c:spPr>
              <a:solidFill>
                <a:srgbClr val="FFCB25"/>
              </a:solidFill>
              <a:ln w="19050">
                <a:solidFill>
                  <a:schemeClr val="lt1"/>
                </a:solidFill>
              </a:ln>
              <a:effectLst/>
            </c:spPr>
            <c:extLst>
              <c:ext xmlns:c16="http://schemas.microsoft.com/office/drawing/2014/chart" uri="{C3380CC4-5D6E-409C-BE32-E72D297353CC}">
                <c16:uniqueId val="{00000002-D28C-405D-B4C3-27653F7833E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D28C-405D-B4C3-27653F7833E5}"/>
              </c:ext>
            </c:extLst>
          </c:dPt>
          <c:dPt>
            <c:idx val="2"/>
            <c:bubble3D val="0"/>
            <c:spPr>
              <a:noFill/>
              <a:ln w="19050">
                <a:solidFill>
                  <a:schemeClr val="lt1"/>
                </a:solidFill>
              </a:ln>
              <a:effectLst/>
            </c:spPr>
            <c:extLst>
              <c:ext xmlns:c16="http://schemas.microsoft.com/office/drawing/2014/chart" uri="{C3380CC4-5D6E-409C-BE32-E72D297353CC}">
                <c16:uniqueId val="{00000001-D28C-405D-B4C3-27653F7833E5}"/>
              </c:ext>
            </c:extLst>
          </c:dPt>
          <c:dLbls>
            <c:dLbl>
              <c:idx val="0"/>
              <c:layout>
                <c:manualLayout>
                  <c:x val="1.9444444444444445E-2"/>
                  <c:y val="-9.2592592592592587E-3"/>
                </c:manualLayout>
              </c:layout>
              <c:tx>
                <c:rich>
                  <a:bodyPr/>
                  <a:lstStyle/>
                  <a:p>
                    <a:fld id="{22C8031A-4619-4BF2-B574-A65912E59FCD}" type="VALUE">
                      <a:rPr lang="en-US" b="1">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28C-405D-B4C3-27653F7833E5}"/>
                </c:ext>
              </c:extLst>
            </c:dLbl>
            <c:dLbl>
              <c:idx val="1"/>
              <c:delete val="1"/>
              <c:extLst>
                <c:ext xmlns:c15="http://schemas.microsoft.com/office/drawing/2012/chart" uri="{CE6537A1-D6FC-4f65-9D91-7224C49458BB}"/>
                <c:ext xmlns:c16="http://schemas.microsoft.com/office/drawing/2014/chart" uri="{C3380CC4-5D6E-409C-BE32-E72D297353CC}">
                  <c16:uniqueId val="{00000003-D28C-405D-B4C3-27653F7833E5}"/>
                </c:ext>
              </c:extLst>
            </c:dLbl>
            <c:dLbl>
              <c:idx val="2"/>
              <c:delete val="1"/>
              <c:extLst>
                <c:ext xmlns:c15="http://schemas.microsoft.com/office/drawing/2012/chart" uri="{CE6537A1-D6FC-4f65-9D91-7224C49458BB}"/>
                <c:ext xmlns:c16="http://schemas.microsoft.com/office/drawing/2014/chart" uri="{C3380CC4-5D6E-409C-BE32-E72D297353CC}">
                  <c16:uniqueId val="{00000001-D28C-405D-B4C3-27653F7833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Supply_Chain_Pivot!$A$12:$A$14</c:f>
              <c:strCache>
                <c:ptCount val="3"/>
                <c:pt idx="0">
                  <c:v>Actual</c:v>
                </c:pt>
                <c:pt idx="1">
                  <c:v>Remaining</c:v>
                </c:pt>
                <c:pt idx="2">
                  <c:v>spacer</c:v>
                </c:pt>
              </c:strCache>
            </c:strRef>
          </c:cat>
          <c:val>
            <c:numRef>
              <c:f>Supply_Chain_Pivot!$B$12:$B$14</c:f>
              <c:numCache>
                <c:formatCode>0.00%</c:formatCode>
                <c:ptCount val="3"/>
                <c:pt idx="0">
                  <c:v>0.69339530406269267</c:v>
                </c:pt>
                <c:pt idx="1">
                  <c:v>0.30660469593730733</c:v>
                </c:pt>
                <c:pt idx="2" formatCode="General">
                  <c:v>1</c:v>
                </c:pt>
              </c:numCache>
            </c:numRef>
          </c:val>
          <c:extLst>
            <c:ext xmlns:c16="http://schemas.microsoft.com/office/drawing/2014/chart" uri="{C3380CC4-5D6E-409C-BE32-E72D297353CC}">
              <c16:uniqueId val="{00000000-D28C-405D-B4C3-27653F7833E5}"/>
            </c:ext>
          </c:extLst>
        </c:ser>
        <c:dLbls>
          <c:showLegendKey val="0"/>
          <c:showVal val="1"/>
          <c:showCatName val="0"/>
          <c:showSerName val="0"/>
          <c:showPercent val="0"/>
          <c:showBubbleSize val="0"/>
          <c:showLeaderLines val="1"/>
        </c:dLbls>
        <c:firstSliceAng val="27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Dashboard.xlsx]Product_Pivot!PivotTable6</c:name>
    <c:fmtId val="1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t>Total Product Sold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dLbl>
          <c:idx val="0"/>
          <c:layout>
            <c:manualLayout>
              <c:x val="-7.326007326007326E-3"/>
              <c:y val="9.7222222222222224E-2"/>
            </c:manualLayout>
          </c:layout>
          <c:tx>
            <c:rich>
              <a:bodyPr/>
              <a:lstStyle/>
              <a:p>
                <a:fld id="{4CF5B8DC-3143-44E5-A549-3E621CD8289C}" type="VALUE">
                  <a:rPr lang="en-US" b="1">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dLbl>
          <c:idx val="0"/>
          <c:layout>
            <c:manualLayout>
              <c:x val="0"/>
              <c:y val="0.10648148148148148"/>
            </c:manualLayout>
          </c:layout>
          <c:tx>
            <c:rich>
              <a:bodyPr/>
              <a:lstStyle/>
              <a:p>
                <a:fld id="{5E12A35B-32DB-441B-AA18-7306E80154EA}" type="VALUE">
                  <a:rPr lang="en-US" b="1">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6"/>
        <c:dLbl>
          <c:idx val="0"/>
          <c:layout>
            <c:manualLayout>
              <c:x val="0"/>
              <c:y val="0.1111111111111111"/>
            </c:manualLayout>
          </c:layout>
          <c:tx>
            <c:rich>
              <a:bodyPr/>
              <a:lstStyle/>
              <a:p>
                <a:fld id="{AD49BB6B-0189-4C0B-99D3-38F663D2F8BF}" type="VALUE">
                  <a:rPr lang="en-US" b="1">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4110914764309162E-3"/>
              <c:y val="0.1064814814814814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2B8E01F-F0B8-4175-869B-48629165DD0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c:spPr>
        <c:dLbl>
          <c:idx val="0"/>
          <c:layout>
            <c:manualLayout>
              <c:x val="-4.8221829528618324E-3"/>
              <c:y val="0.1157407407407407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B5E5995-EC24-44D5-8782-063F140F1FE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dLbl>
          <c:idx val="0"/>
          <c:layout>
            <c:manualLayout>
              <c:x val="0"/>
              <c:y val="0.1064814814814814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F060B7-941A-49FC-98AB-6FC3327CB110}"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3044012481480163E-2"/>
              <c:y val="-4.1666666666666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2332744292927492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632921005049153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4110914764309162E-3"/>
              <c:y val="0.10648148148148148"/>
            </c:manualLayout>
          </c:layout>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fld id="{E2B8E01F-F0B8-4175-869B-48629165DD09}" type="VALUE">
                  <a:rPr lang="en-US"/>
                  <a:pPr>
                    <a:defRPr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1"/>
          </a:solidFill>
          <a:ln>
            <a:noFill/>
          </a:ln>
          <a:effectLst/>
        </c:spPr>
        <c:dLbl>
          <c:idx val="0"/>
          <c:layout>
            <c:manualLayout>
              <c:x val="-4.8221829528618324E-3"/>
              <c:y val="0.11574074074074074"/>
            </c:manualLayout>
          </c:layout>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fld id="{8B5E5995-EC24-44D5-8782-063F140F1FEC}" type="VALUE">
                  <a:rPr lang="en-US"/>
                  <a:pPr>
                    <a:defRPr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1"/>
          </a:solidFill>
          <a:ln>
            <a:noFill/>
          </a:ln>
          <a:effectLst/>
        </c:spPr>
        <c:dLbl>
          <c:idx val="0"/>
          <c:layout>
            <c:manualLayout>
              <c:x val="0"/>
              <c:y val="0.10648148148148148"/>
            </c:manualLayout>
          </c:layout>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fld id="{B7F060B7-941A-49FC-98AB-6FC3327CB110}" type="VALUE">
                  <a:rPr lang="en-US"/>
                  <a:pPr>
                    <a:defRPr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3044012481480163E-2"/>
              <c:y val="-4.1666666666666623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2332744292927492E-2"/>
              <c:y val="-6.944444444444444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632921005049153E-2"/>
              <c:y val="-6.0185185185185182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Product_Pivot!$B$1</c:f>
              <c:strCache>
                <c:ptCount val="1"/>
                <c:pt idx="0">
                  <c:v>Sum of Number of products sold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B090-400F-AE04-0D170D3766D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B090-400F-AE04-0D170D3766D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B090-400F-AE04-0D170D3766D2}"/>
              </c:ext>
            </c:extLst>
          </c:dPt>
          <c:dLbls>
            <c:dLbl>
              <c:idx val="0"/>
              <c:layout>
                <c:manualLayout>
                  <c:x val="2.4110914764309162E-3"/>
                  <c:y val="0.10648148148148148"/>
                </c:manualLayout>
              </c:layout>
              <c:tx>
                <c:rich>
                  <a:bodyPr/>
                  <a:lstStyle/>
                  <a:p>
                    <a:fld id="{E2B8E01F-F0B8-4175-869B-48629165DD09}"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B090-400F-AE04-0D170D3766D2}"/>
                </c:ext>
              </c:extLst>
            </c:dLbl>
            <c:dLbl>
              <c:idx val="1"/>
              <c:layout>
                <c:manualLayout>
                  <c:x val="-4.8221829528618324E-3"/>
                  <c:y val="0.11574074074074074"/>
                </c:manualLayout>
              </c:layout>
              <c:tx>
                <c:rich>
                  <a:bodyPr/>
                  <a:lstStyle/>
                  <a:p>
                    <a:fld id="{8B5E5995-EC24-44D5-8782-063F140F1FEC}"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090-400F-AE04-0D170D3766D2}"/>
                </c:ext>
              </c:extLst>
            </c:dLbl>
            <c:dLbl>
              <c:idx val="2"/>
              <c:layout>
                <c:manualLayout>
                  <c:x val="0"/>
                  <c:y val="0.10648148148148148"/>
                </c:manualLayout>
              </c:layout>
              <c:tx>
                <c:rich>
                  <a:bodyPr/>
                  <a:lstStyle/>
                  <a:p>
                    <a:fld id="{B7F060B7-941A-49FC-98AB-6FC3327CB110}"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090-400F-AE04-0D170D3766D2}"/>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Product_Pivot!$A$2:$A$5</c:f>
              <c:strCache>
                <c:ptCount val="3"/>
                <c:pt idx="0">
                  <c:v>cosmetics</c:v>
                </c:pt>
                <c:pt idx="1">
                  <c:v>haircare</c:v>
                </c:pt>
                <c:pt idx="2">
                  <c:v>skincare</c:v>
                </c:pt>
              </c:strCache>
            </c:strRef>
          </c:cat>
          <c:val>
            <c:numRef>
              <c:f>Product_Pivot!$B$2:$B$5</c:f>
              <c:numCache>
                <c:formatCode>General</c:formatCode>
                <c:ptCount val="3"/>
                <c:pt idx="0">
                  <c:v>11757</c:v>
                </c:pt>
                <c:pt idx="1">
                  <c:v>13611</c:v>
                </c:pt>
                <c:pt idx="2">
                  <c:v>20731</c:v>
                </c:pt>
              </c:numCache>
            </c:numRef>
          </c:val>
          <c:extLst>
            <c:ext xmlns:c16="http://schemas.microsoft.com/office/drawing/2014/chart" uri="{C3380CC4-5D6E-409C-BE32-E72D297353CC}">
              <c16:uniqueId val="{00000003-B090-400F-AE04-0D170D3766D2}"/>
            </c:ext>
          </c:extLst>
        </c:ser>
        <c:dLbls>
          <c:showLegendKey val="0"/>
          <c:showVal val="1"/>
          <c:showCatName val="0"/>
          <c:showSerName val="0"/>
          <c:showPercent val="0"/>
          <c:showBubbleSize val="0"/>
        </c:dLbls>
        <c:gapWidth val="100"/>
        <c:axId val="1868362672"/>
        <c:axId val="1868361232"/>
      </c:barChart>
      <c:lineChart>
        <c:grouping val="standard"/>
        <c:varyColors val="0"/>
        <c:ser>
          <c:idx val="1"/>
          <c:order val="1"/>
          <c:tx>
            <c:strRef>
              <c:f>Product_Pivot!$C$1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4-B090-400F-AE04-0D170D3766D2}"/>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5-B090-400F-AE04-0D170D3766D2}"/>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6-B090-400F-AE04-0D170D3766D2}"/>
              </c:ext>
            </c:extLst>
          </c:dPt>
          <c:dLbls>
            <c:dLbl>
              <c:idx val="0"/>
              <c:layout>
                <c:manualLayout>
                  <c:x val="-5.3044012481480163E-2"/>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90-400F-AE04-0D170D3766D2}"/>
                </c:ext>
              </c:extLst>
            </c:dLbl>
            <c:dLbl>
              <c:idx val="1"/>
              <c:layout>
                <c:manualLayout>
                  <c:x val="-7.2332744292927492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90-400F-AE04-0D170D3766D2}"/>
                </c:ext>
              </c:extLst>
            </c:dLbl>
            <c:dLbl>
              <c:idx val="2"/>
              <c:layout>
                <c:manualLayout>
                  <c:x val="-5.0632921005049153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90-400F-AE04-0D170D3766D2}"/>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Product_Pivot!$A$2:$A$5</c:f>
              <c:strCache>
                <c:ptCount val="3"/>
                <c:pt idx="0">
                  <c:v>cosmetics</c:v>
                </c:pt>
                <c:pt idx="1">
                  <c:v>haircare</c:v>
                </c:pt>
                <c:pt idx="2">
                  <c:v>skincare</c:v>
                </c:pt>
              </c:strCache>
            </c:strRef>
          </c:cat>
          <c:val>
            <c:numRef>
              <c:f>Product_Pivot!$C$2:$C$5</c:f>
              <c:numCache>
                <c:formatCode>_ [$₹-4009]\ * #,##0.00_ ;_ [$₹-4009]\ * \-#,##0.00_ ;_ [$₹-4009]\ * "-"??_ ;_ @_ </c:formatCode>
                <c:ptCount val="3"/>
                <c:pt idx="0">
                  <c:v>146877.93363689139</c:v>
                </c:pt>
                <c:pt idx="1">
                  <c:v>155278.09237086662</c:v>
                </c:pt>
                <c:pt idx="2">
                  <c:v>217242.72982304875</c:v>
                </c:pt>
              </c:numCache>
            </c:numRef>
          </c:val>
          <c:smooth val="0"/>
          <c:extLst>
            <c:ext xmlns:c16="http://schemas.microsoft.com/office/drawing/2014/chart" uri="{C3380CC4-5D6E-409C-BE32-E72D297353CC}">
              <c16:uniqueId val="{00000007-B090-400F-AE04-0D170D3766D2}"/>
            </c:ext>
          </c:extLst>
        </c:ser>
        <c:dLbls>
          <c:showLegendKey val="0"/>
          <c:showVal val="1"/>
          <c:showCatName val="0"/>
          <c:showSerName val="0"/>
          <c:showPercent val="0"/>
          <c:showBubbleSize val="0"/>
        </c:dLbls>
        <c:marker val="1"/>
        <c:smooth val="0"/>
        <c:axId val="1087462512"/>
        <c:axId val="1040632720"/>
      </c:lineChart>
      <c:catAx>
        <c:axId val="186836267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361232"/>
        <c:crosses val="autoZero"/>
        <c:auto val="1"/>
        <c:lblAlgn val="ctr"/>
        <c:lblOffset val="100"/>
        <c:noMultiLvlLbl val="0"/>
      </c:catAx>
      <c:valAx>
        <c:axId val="1868361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Order 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362672"/>
        <c:crosses val="autoZero"/>
        <c:crossBetween val="between"/>
      </c:valAx>
      <c:valAx>
        <c:axId val="1040632720"/>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7462512"/>
        <c:crosses val="max"/>
        <c:crossBetween val="between"/>
      </c:valAx>
      <c:catAx>
        <c:axId val="1087462512"/>
        <c:scaling>
          <c:orientation val="minMax"/>
        </c:scaling>
        <c:delete val="1"/>
        <c:axPos val="b"/>
        <c:numFmt formatCode="General" sourceLinked="1"/>
        <c:majorTickMark val="none"/>
        <c:minorTickMark val="none"/>
        <c:tickLblPos val="nextTo"/>
        <c:crossAx val="10406327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Dashboard.xlsx]Product_Pivot!PivotTable7</c:name>
    <c:fmtId val="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sz="1600" b="1" i="0" u="none" strike="noStrike" kern="1200" baseline="0">
                <a:solidFill>
                  <a:sysClr val="windowText" lastClr="000000"/>
                </a:solidFill>
              </a:rPr>
              <a:t>Demand vs Profit by City</a:t>
            </a:r>
          </a:p>
        </c:rich>
      </c:tx>
      <c:layout>
        <c:manualLayout>
          <c:xMode val="edge"/>
          <c:yMode val="edge"/>
          <c:x val="0.32735734387656423"/>
          <c:y val="4.6329612786630579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Product_Pivot!$B$7</c:f>
              <c:strCache>
                <c:ptCount val="1"/>
                <c:pt idx="0">
                  <c:v>Sum of Order quantities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Product_Pivot!$A$8:$A$13</c:f>
              <c:strCache>
                <c:ptCount val="5"/>
                <c:pt idx="0">
                  <c:v>Bangalore</c:v>
                </c:pt>
                <c:pt idx="1">
                  <c:v>Chennai</c:v>
                </c:pt>
                <c:pt idx="2">
                  <c:v>Delhi</c:v>
                </c:pt>
                <c:pt idx="3">
                  <c:v>Kolkata</c:v>
                </c:pt>
                <c:pt idx="4">
                  <c:v>Mumbai</c:v>
                </c:pt>
              </c:strCache>
            </c:strRef>
          </c:cat>
          <c:val>
            <c:numRef>
              <c:f>Product_Pivot!$B$8:$B$13</c:f>
              <c:numCache>
                <c:formatCode>General</c:formatCode>
                <c:ptCount val="5"/>
                <c:pt idx="0">
                  <c:v>769</c:v>
                </c:pt>
                <c:pt idx="1">
                  <c:v>1109</c:v>
                </c:pt>
                <c:pt idx="2">
                  <c:v>733</c:v>
                </c:pt>
                <c:pt idx="3">
                  <c:v>1228</c:v>
                </c:pt>
                <c:pt idx="4">
                  <c:v>1083</c:v>
                </c:pt>
              </c:numCache>
            </c:numRef>
          </c:val>
          <c:extLst>
            <c:ext xmlns:c16="http://schemas.microsoft.com/office/drawing/2014/chart" uri="{C3380CC4-5D6E-409C-BE32-E72D297353CC}">
              <c16:uniqueId val="{00000000-600F-4099-9374-0FD07F47AF06}"/>
            </c:ext>
          </c:extLst>
        </c:ser>
        <c:ser>
          <c:idx val="1"/>
          <c:order val="1"/>
          <c:tx>
            <c:strRef>
              <c:f>Product_Pivot!$C$7</c:f>
              <c:strCache>
                <c:ptCount val="1"/>
                <c:pt idx="0">
                  <c:v>Sum of Revenue generated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Product_Pivot!$A$8:$A$13</c:f>
              <c:strCache>
                <c:ptCount val="5"/>
                <c:pt idx="0">
                  <c:v>Bangalore</c:v>
                </c:pt>
                <c:pt idx="1">
                  <c:v>Chennai</c:v>
                </c:pt>
                <c:pt idx="2">
                  <c:v>Delhi</c:v>
                </c:pt>
                <c:pt idx="3">
                  <c:v>Kolkata</c:v>
                </c:pt>
                <c:pt idx="4">
                  <c:v>Mumbai</c:v>
                </c:pt>
              </c:strCache>
            </c:strRef>
          </c:cat>
          <c:val>
            <c:numRef>
              <c:f>Product_Pivot!$C$8:$C$13</c:f>
              <c:numCache>
                <c:formatCode>_ [$₹-4009]\ * #,##0.00_ ;_ [$₹-4009]\ * \-#,##0.00_ ;_ [$₹-4009]\ * "-"??_ ;_ @_ </c:formatCode>
                <c:ptCount val="5"/>
                <c:pt idx="0">
                  <c:v>102601.72388223576</c:v>
                </c:pt>
                <c:pt idx="1">
                  <c:v>119142.81574806941</c:v>
                </c:pt>
                <c:pt idx="2">
                  <c:v>81027.701224853008</c:v>
                </c:pt>
                <c:pt idx="3">
                  <c:v>137077.5510053811</c:v>
                </c:pt>
                <c:pt idx="4">
                  <c:v>137755.02687746938</c:v>
                </c:pt>
              </c:numCache>
            </c:numRef>
          </c:val>
          <c:extLst>
            <c:ext xmlns:c16="http://schemas.microsoft.com/office/drawing/2014/chart" uri="{C3380CC4-5D6E-409C-BE32-E72D297353CC}">
              <c16:uniqueId val="{00000000-1C05-49E6-8BC7-EDEDB3DD4DB2}"/>
            </c:ext>
          </c:extLst>
        </c:ser>
        <c:ser>
          <c:idx val="2"/>
          <c:order val="2"/>
          <c:tx>
            <c:strRef>
              <c:f>Product_Pivot!$D$7</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Product_Pivot!$A$8:$A$13</c:f>
              <c:strCache>
                <c:ptCount val="5"/>
                <c:pt idx="0">
                  <c:v>Bangalore</c:v>
                </c:pt>
                <c:pt idx="1">
                  <c:v>Chennai</c:v>
                </c:pt>
                <c:pt idx="2">
                  <c:v>Delhi</c:v>
                </c:pt>
                <c:pt idx="3">
                  <c:v>Kolkata</c:v>
                </c:pt>
                <c:pt idx="4">
                  <c:v>Mumbai</c:v>
                </c:pt>
              </c:strCache>
            </c:strRef>
          </c:cat>
          <c:val>
            <c:numRef>
              <c:f>Product_Pivot!$D$8:$D$13</c:f>
              <c:numCache>
                <c:formatCode>_ [$₹-4009]\ * #,##0.00_ ;_ [$₹-4009]\ * \-#,##0.00_ ;_ [$₹-4009]\ * "-"??_ ;_ @_ </c:formatCode>
                <c:ptCount val="5"/>
                <c:pt idx="0">
                  <c:v>90821.62066641025</c:v>
                </c:pt>
                <c:pt idx="1">
                  <c:v>105591.12027157335</c:v>
                </c:pt>
                <c:pt idx="2">
                  <c:v>71994.884309806992</c:v>
                </c:pt>
                <c:pt idx="3">
                  <c:v>123605.19235852355</c:v>
                </c:pt>
                <c:pt idx="4">
                  <c:v>127385.93822449261</c:v>
                </c:pt>
              </c:numCache>
            </c:numRef>
          </c:val>
          <c:extLst>
            <c:ext xmlns:c16="http://schemas.microsoft.com/office/drawing/2014/chart" uri="{C3380CC4-5D6E-409C-BE32-E72D297353CC}">
              <c16:uniqueId val="{00000001-1C05-49E6-8BC7-EDEDB3DD4DB2}"/>
            </c:ext>
          </c:extLst>
        </c:ser>
        <c:dLbls>
          <c:dLblPos val="outEnd"/>
          <c:showLegendKey val="0"/>
          <c:showVal val="1"/>
          <c:showCatName val="0"/>
          <c:showSerName val="0"/>
          <c:showPercent val="0"/>
          <c:showBubbleSize val="0"/>
        </c:dLbls>
        <c:gapWidth val="100"/>
        <c:axId val="888855776"/>
        <c:axId val="1871240816"/>
      </c:barChart>
      <c:catAx>
        <c:axId val="888855776"/>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1240816"/>
        <c:crosses val="autoZero"/>
        <c:auto val="1"/>
        <c:lblAlgn val="ctr"/>
        <c:lblOffset val="100"/>
        <c:noMultiLvlLbl val="0"/>
      </c:catAx>
      <c:valAx>
        <c:axId val="187124081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Total Product Sold</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8885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Dashboard.xlsx]Product_Pivot!PivotTable8</c:name>
    <c:fmtId val="5"/>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US"/>
              <a:t>Customer Distribution</a:t>
            </a:r>
          </a:p>
        </c:rich>
      </c:tx>
      <c:layout>
        <c:manualLayout>
          <c:xMode val="edge"/>
          <c:yMode val="edge"/>
          <c:x val="0.34151522066247586"/>
          <c:y val="7.453714475900735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8603733945168169"/>
          <c:y val="0.23152764253425118"/>
          <c:w val="0.30577534834430359"/>
          <c:h val="0.64386387582607285"/>
        </c:manualLayout>
      </c:layout>
      <c:doughnutChart>
        <c:varyColors val="1"/>
        <c:ser>
          <c:idx val="0"/>
          <c:order val="0"/>
          <c:tx>
            <c:strRef>
              <c:f>Product_Pivot!$B$15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CDE-4AF4-9F4F-3155A60E748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CDE-4AF4-9F4F-3155A60E748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CDE-4AF4-9F4F-3155A60E748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CDE-4AF4-9F4F-3155A60E748D}"/>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Product_Pivot!$A$16:$A$20</c:f>
              <c:strCache>
                <c:ptCount val="4"/>
                <c:pt idx="0">
                  <c:v>Female</c:v>
                </c:pt>
                <c:pt idx="1">
                  <c:v>Male</c:v>
                </c:pt>
                <c:pt idx="2">
                  <c:v>Non-binary</c:v>
                </c:pt>
                <c:pt idx="3">
                  <c:v>Unknown</c:v>
                </c:pt>
              </c:strCache>
            </c:strRef>
          </c:cat>
          <c:val>
            <c:numRef>
              <c:f>Product_Pivot!$B$16:$B$20</c:f>
              <c:numCache>
                <c:formatCode>General</c:formatCode>
                <c:ptCount val="4"/>
                <c:pt idx="0">
                  <c:v>25</c:v>
                </c:pt>
                <c:pt idx="1">
                  <c:v>21</c:v>
                </c:pt>
                <c:pt idx="2">
                  <c:v>23</c:v>
                </c:pt>
                <c:pt idx="3">
                  <c:v>31</c:v>
                </c:pt>
              </c:numCache>
            </c:numRef>
          </c:val>
          <c:extLst>
            <c:ext xmlns:c16="http://schemas.microsoft.com/office/drawing/2014/chart" uri="{C3380CC4-5D6E-409C-BE32-E72D297353CC}">
              <c16:uniqueId val="{00000008-1CDE-4AF4-9F4F-3155A60E748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Dashboard.xlsx]Inventory_&amp;_Orders_Pivot!PivotTable10</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t>Shipping Time vs Cost</a:t>
            </a:r>
          </a:p>
        </c:rich>
      </c:tx>
      <c:layout>
        <c:manualLayout>
          <c:xMode val="edge"/>
          <c:yMode val="edge"/>
          <c:x val="0.29459711984361836"/>
          <c:y val="2.94557256555531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3888888888888864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3.33333333333332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2222222222222223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1.3888888888888864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3.33333333333332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2222222222222223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3888888888888864E-2"/>
              <c:y val="-4.2437781360066642E-1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3.3333333333333229E-2"/>
              <c:y val="0"/>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2.2222222222222223E-2"/>
              <c:y val="-4.2437781360066642E-1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'Inventory_&amp;_Orders_Pivot'!$B$1</c:f>
              <c:strCache>
                <c:ptCount val="1"/>
                <c:pt idx="0">
                  <c:v>Sum of Shipping times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'Inventory_&amp;_Orders_Pivot'!$A$2:$A$5</c:f>
              <c:strCache>
                <c:ptCount val="3"/>
                <c:pt idx="0">
                  <c:v>Carrier A</c:v>
                </c:pt>
                <c:pt idx="1">
                  <c:v>Carrier B</c:v>
                </c:pt>
                <c:pt idx="2">
                  <c:v>Carrier C</c:v>
                </c:pt>
              </c:strCache>
            </c:strRef>
          </c:cat>
          <c:val>
            <c:numRef>
              <c:f>'Inventory_&amp;_Orders_Pivot'!$B$2:$B$5</c:f>
              <c:numCache>
                <c:formatCode>General</c:formatCode>
                <c:ptCount val="3"/>
                <c:pt idx="0">
                  <c:v>172</c:v>
                </c:pt>
                <c:pt idx="1">
                  <c:v>228</c:v>
                </c:pt>
                <c:pt idx="2">
                  <c:v>175</c:v>
                </c:pt>
              </c:numCache>
            </c:numRef>
          </c:val>
          <c:extLst>
            <c:ext xmlns:c16="http://schemas.microsoft.com/office/drawing/2014/chart" uri="{C3380CC4-5D6E-409C-BE32-E72D297353CC}">
              <c16:uniqueId val="{00000000-B7D1-40A7-86F6-B9F428EBB5F0}"/>
            </c:ext>
          </c:extLst>
        </c:ser>
        <c:ser>
          <c:idx val="1"/>
          <c:order val="1"/>
          <c:tx>
            <c:strRef>
              <c:f>'Inventory_&amp;_Orders_Pivot'!$C$1</c:f>
              <c:strCache>
                <c:ptCount val="1"/>
                <c:pt idx="0">
                  <c:v>Sum of Shipping costs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7D1-40A7-86F6-B9F428EBB5F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B7D1-40A7-86F6-B9F428EBB5F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B7D1-40A7-86F6-B9F428EBB5F0}"/>
              </c:ext>
            </c:extLst>
          </c:dPt>
          <c:dLbls>
            <c:dLbl>
              <c:idx val="0"/>
              <c:layout>
                <c:manualLayout>
                  <c:x val="1.3888888888888864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D1-40A7-86F6-B9F428EBB5F0}"/>
                </c:ext>
              </c:extLst>
            </c:dLbl>
            <c:dLbl>
              <c:idx val="1"/>
              <c:layout>
                <c:manualLayout>
                  <c:x val="3.333333333333322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D1-40A7-86F6-B9F428EBB5F0}"/>
                </c:ext>
              </c:extLst>
            </c:dLbl>
            <c:dLbl>
              <c:idx val="2"/>
              <c:layout>
                <c:manualLayout>
                  <c:x val="2.2222222222222223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D1-40A7-86F6-B9F428EBB5F0}"/>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'Inventory_&amp;_Orders_Pivot'!$A$2:$A$5</c:f>
              <c:strCache>
                <c:ptCount val="3"/>
                <c:pt idx="0">
                  <c:v>Carrier A</c:v>
                </c:pt>
                <c:pt idx="1">
                  <c:v>Carrier B</c:v>
                </c:pt>
                <c:pt idx="2">
                  <c:v>Carrier C</c:v>
                </c:pt>
              </c:strCache>
            </c:strRef>
          </c:cat>
          <c:val>
            <c:numRef>
              <c:f>'Inventory_&amp;_Orders_Pivot'!$C$2:$C$5</c:f>
              <c:numCache>
                <c:formatCode>_ [$₹-4009]\ * #,##0.00_ ;_ [$₹-4009]\ * \-#,##0.00_ ;_ [$₹-4009]\ * "-"??_ ;_ @_ </c:formatCode>
                <c:ptCount val="3"/>
                <c:pt idx="0">
                  <c:v>155.53783060623559</c:v>
                </c:pt>
                <c:pt idx="1">
                  <c:v>236.89761966393539</c:v>
                </c:pt>
                <c:pt idx="2">
                  <c:v>162.37945693178767</c:v>
                </c:pt>
              </c:numCache>
            </c:numRef>
          </c:val>
          <c:extLst>
            <c:ext xmlns:c16="http://schemas.microsoft.com/office/drawing/2014/chart" uri="{C3380CC4-5D6E-409C-BE32-E72D297353CC}">
              <c16:uniqueId val="{00000004-B7D1-40A7-86F6-B9F428EBB5F0}"/>
            </c:ext>
          </c:extLst>
        </c:ser>
        <c:dLbls>
          <c:dLblPos val="outEnd"/>
          <c:showLegendKey val="0"/>
          <c:showVal val="1"/>
          <c:showCatName val="0"/>
          <c:showSerName val="0"/>
          <c:showPercent val="0"/>
          <c:showBubbleSize val="0"/>
        </c:dLbls>
        <c:gapWidth val="219"/>
        <c:overlap val="-27"/>
        <c:axId val="1087451952"/>
        <c:axId val="1087457232"/>
      </c:barChart>
      <c:catAx>
        <c:axId val="108745195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Carriers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7457232"/>
        <c:crosses val="autoZero"/>
        <c:auto val="1"/>
        <c:lblAlgn val="ctr"/>
        <c:lblOffset val="100"/>
        <c:noMultiLvlLbl val="0"/>
      </c:catAx>
      <c:valAx>
        <c:axId val="108745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Shipping Time (in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745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Dashboard.xlsx]Inventory_&amp;_Orders_Pivot!PivotTable8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Order Fulfillment Timeline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9936051159072735E-2"/>
              <c:y val="-0.121104742251918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548358627841462"/>
              <c:y val="0.141288865960571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466826538768972"/>
              <c:y val="-3.22945979338450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w="19050">
            <a:solidFill>
              <a:schemeClr val="lt1"/>
            </a:solidFill>
          </a:ln>
          <a:effectLst/>
        </c:spPr>
        <c:dLbl>
          <c:idx val="0"/>
          <c:layout>
            <c:manualLayout>
              <c:x val="0.22382093049692633"/>
              <c:y val="0.125141566993649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dLbl>
          <c:idx val="0"/>
          <c:layout>
            <c:manualLayout>
              <c:x val="-0.17905675459632298"/>
              <c:y val="3.63314226755755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w="19050">
            <a:solidFill>
              <a:schemeClr val="lt1"/>
            </a:solidFill>
          </a:ln>
          <a:effectLst/>
        </c:spPr>
        <c:dLbl>
          <c:idx val="0"/>
          <c:layout>
            <c:manualLayout>
              <c:x val="0"/>
              <c:y val="7.26628453511513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3"/>
          </a:solidFill>
          <a:ln w="19050">
            <a:solidFill>
              <a:schemeClr val="lt1"/>
            </a:solidFill>
          </a:ln>
          <a:effectLst/>
        </c:spPr>
        <c:dLbl>
          <c:idx val="0"/>
          <c:layout>
            <c:manualLayout>
              <c:x val="-0.13269384492406075"/>
              <c:y val="-8.07364948346125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3"/>
          </a:solidFill>
          <a:ln w="19050">
            <a:solidFill>
              <a:schemeClr val="lt1"/>
            </a:solidFill>
          </a:ln>
          <a:effectLst/>
        </c:spPr>
        <c:dLbl>
          <c:idx val="0"/>
          <c:layout>
            <c:manualLayout>
              <c:x val="-9.4324540367705836E-2"/>
              <c:y val="-0.20184123708653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3"/>
          </a:solidFill>
          <a:ln w="19050">
            <a:solidFill>
              <a:schemeClr val="lt1"/>
            </a:solidFill>
          </a:ln>
          <a:effectLst/>
        </c:spPr>
        <c:dLbl>
          <c:idx val="0"/>
          <c:layout>
            <c:manualLayout>
              <c:x val="-0.19824140687450043"/>
              <c:y val="7.26628453511512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6466826538768972"/>
              <c:y val="-3.22945979338450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2382093049692633"/>
              <c:y val="0.125141566993649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9824140687450043"/>
              <c:y val="7.26628453511512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14548358627841462"/>
              <c:y val="0.141288865960571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7905675459632298"/>
              <c:y val="3.63314226755755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9.4324540367705836E-2"/>
              <c:y val="-0.20184123708653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7.9936051159072735E-2"/>
              <c:y val="-0.121104742251918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
              <c:y val="7.26628453511513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0.13269384492406075"/>
              <c:y val="-8.07364948346125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0.23836233566307624"/>
              <c:y val="-3.22945916887863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0.21563278191332635"/>
              <c:y val="0.174473172173205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0.17094736597781615"/>
              <c:y val="0.170232926193729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dLbl>
          <c:idx val="0"/>
          <c:layout>
            <c:manualLayout>
              <c:x val="0.14548358627841462"/>
              <c:y val="0.141288865960571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dLbl>
          <c:idx val="0"/>
          <c:layout>
            <c:manualLayout>
              <c:x val="-0.17905672814004334"/>
              <c:y val="0.133901510543844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solidFill>
              <a:schemeClr val="lt1"/>
            </a:solidFill>
          </a:ln>
          <a:effectLst/>
        </c:spPr>
        <c:dLbl>
          <c:idx val="0"/>
          <c:layout>
            <c:manualLayout>
              <c:x val="-0.19804225946305382"/>
              <c:y val="-0.201841198054914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dLbl>
          <c:idx val="0"/>
          <c:layout>
            <c:manualLayout>
              <c:x val="7.9936093076814457E-2"/>
              <c:y val="-0.180730887934813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w="19050">
            <a:solidFill>
              <a:schemeClr val="lt1"/>
            </a:solidFill>
          </a:ln>
          <a:effectLst/>
        </c:spPr>
        <c:dLbl>
          <c:idx val="0"/>
          <c:layout>
            <c:manualLayout>
              <c:x val="0"/>
              <c:y val="0.110606757091864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19050">
            <a:solidFill>
              <a:schemeClr val="lt1"/>
            </a:solidFill>
          </a:ln>
          <a:effectLst/>
        </c:spPr>
        <c:dLbl>
          <c:idx val="0"/>
          <c:layout>
            <c:manualLayout>
              <c:x val="-0.1326939059109391"/>
              <c:y val="-4.848627637775077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1618094500777327"/>
          <c:y val="0.26462117260540802"/>
          <c:w val="0.30547849764363194"/>
          <c:h val="0.52360000851865374"/>
        </c:manualLayout>
      </c:layout>
      <c:doughnutChart>
        <c:varyColors val="1"/>
        <c:ser>
          <c:idx val="0"/>
          <c:order val="0"/>
          <c:tx>
            <c:strRef>
              <c:f>'Inventory_&amp;_Orders_Pivot'!$R$17</c:f>
              <c:strCache>
                <c:ptCount val="1"/>
                <c:pt idx="0">
                  <c:v>Average of Manufacturing lead time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B7-4D1B-B94A-EE3306FA25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B7-4D1B-B94A-EE3306FA25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B7-4D1B-B94A-EE3306FA255A}"/>
              </c:ext>
            </c:extLst>
          </c:dPt>
          <c:dLbls>
            <c:dLbl>
              <c:idx val="0"/>
              <c:layout>
                <c:manualLayout>
                  <c:x val="0.23836233566307624"/>
                  <c:y val="-3.2294591688786393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1-4DB7-4D1B-B94A-EE3306FA255A}"/>
                </c:ext>
              </c:extLst>
            </c:dLbl>
            <c:dLbl>
              <c:idx val="1"/>
              <c:layout>
                <c:manualLayout>
                  <c:x val="0.21563278191332635"/>
                  <c:y val="0.17447317217320557"/>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3-4DB7-4D1B-B94A-EE3306FA255A}"/>
                </c:ext>
              </c:extLst>
            </c:dLbl>
            <c:dLbl>
              <c:idx val="2"/>
              <c:layout>
                <c:manualLayout>
                  <c:x val="-0.17094736597781615"/>
                  <c:y val="0.17023292619372915"/>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5-4DB7-4D1B-B94A-EE3306FA25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'Inventory_&amp;_Orders_Pivot'!$Q$18:$Q$21</c:f>
              <c:strCache>
                <c:ptCount val="3"/>
                <c:pt idx="0">
                  <c:v>cosmetics</c:v>
                </c:pt>
                <c:pt idx="1">
                  <c:v>haircare</c:v>
                </c:pt>
                <c:pt idx="2">
                  <c:v>skincare</c:v>
                </c:pt>
              </c:strCache>
            </c:strRef>
          </c:cat>
          <c:val>
            <c:numRef>
              <c:f>'Inventory_&amp;_Orders_Pivot'!$R$18:$R$21</c:f>
              <c:numCache>
                <c:formatCode>General</c:formatCode>
                <c:ptCount val="3"/>
                <c:pt idx="0">
                  <c:v>13.307692307692308</c:v>
                </c:pt>
                <c:pt idx="1">
                  <c:v>17.058823529411764</c:v>
                </c:pt>
                <c:pt idx="2">
                  <c:v>13.775</c:v>
                </c:pt>
              </c:numCache>
            </c:numRef>
          </c:val>
          <c:extLst>
            <c:ext xmlns:c16="http://schemas.microsoft.com/office/drawing/2014/chart" uri="{C3380CC4-5D6E-409C-BE32-E72D297353CC}">
              <c16:uniqueId val="{00000006-4DB7-4D1B-B94A-EE3306FA255A}"/>
            </c:ext>
          </c:extLst>
        </c:ser>
        <c:ser>
          <c:idx val="1"/>
          <c:order val="1"/>
          <c:tx>
            <c:strRef>
              <c:f>'Inventory_&amp;_Orders_Pivot'!$S$17</c:f>
              <c:strCache>
                <c:ptCount val="1"/>
                <c:pt idx="0">
                  <c:v>Average of Shipping times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DB7-4D1B-B94A-EE3306FA25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DB7-4D1B-B94A-EE3306FA25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DB7-4D1B-B94A-EE3306FA255A}"/>
              </c:ext>
            </c:extLst>
          </c:dPt>
          <c:dLbls>
            <c:dLbl>
              <c:idx val="0"/>
              <c:layout>
                <c:manualLayout>
                  <c:x val="0.14548358627841462"/>
                  <c:y val="0.14128886596057191"/>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8-4DB7-4D1B-B94A-EE3306FA255A}"/>
                </c:ext>
              </c:extLst>
            </c:dLbl>
            <c:dLbl>
              <c:idx val="1"/>
              <c:layout>
                <c:manualLayout>
                  <c:x val="-0.17905672814004334"/>
                  <c:y val="0.13390151054384444"/>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A-4DB7-4D1B-B94A-EE3306FA255A}"/>
                </c:ext>
              </c:extLst>
            </c:dLbl>
            <c:dLbl>
              <c:idx val="2"/>
              <c:layout>
                <c:manualLayout>
                  <c:x val="-0.19804225946305382"/>
                  <c:y val="-0.20184119805491499"/>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C-4DB7-4D1B-B94A-EE3306FA25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'Inventory_&amp;_Orders_Pivot'!$Q$18:$Q$21</c:f>
              <c:strCache>
                <c:ptCount val="3"/>
                <c:pt idx="0">
                  <c:v>cosmetics</c:v>
                </c:pt>
                <c:pt idx="1">
                  <c:v>haircare</c:v>
                </c:pt>
                <c:pt idx="2">
                  <c:v>skincare</c:v>
                </c:pt>
              </c:strCache>
            </c:strRef>
          </c:cat>
          <c:val>
            <c:numRef>
              <c:f>'Inventory_&amp;_Orders_Pivot'!$S$18:$S$21</c:f>
              <c:numCache>
                <c:formatCode>General</c:formatCode>
                <c:ptCount val="3"/>
                <c:pt idx="0">
                  <c:v>6.5769230769230766</c:v>
                </c:pt>
                <c:pt idx="1">
                  <c:v>5.617647058823529</c:v>
                </c:pt>
                <c:pt idx="2">
                  <c:v>5.3250000000000002</c:v>
                </c:pt>
              </c:numCache>
            </c:numRef>
          </c:val>
          <c:extLst>
            <c:ext xmlns:c16="http://schemas.microsoft.com/office/drawing/2014/chart" uri="{C3380CC4-5D6E-409C-BE32-E72D297353CC}">
              <c16:uniqueId val="{0000000D-4DB7-4D1B-B94A-EE3306FA255A}"/>
            </c:ext>
          </c:extLst>
        </c:ser>
        <c:ser>
          <c:idx val="2"/>
          <c:order val="2"/>
          <c:tx>
            <c:strRef>
              <c:f>'Inventory_&amp;_Orders_Pivot'!$T$17</c:f>
              <c:strCache>
                <c:ptCount val="1"/>
                <c:pt idx="0">
                  <c:v>Average of Lead times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4DB7-4D1B-B94A-EE3306FA25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4DB7-4D1B-B94A-EE3306FA25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4DB7-4D1B-B94A-EE3306FA255A}"/>
              </c:ext>
            </c:extLst>
          </c:dPt>
          <c:dLbls>
            <c:dLbl>
              <c:idx val="0"/>
              <c:layout>
                <c:manualLayout>
                  <c:x val="7.9936093076814457E-2"/>
                  <c:y val="-0.18073088793481329"/>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F-4DB7-4D1B-B94A-EE3306FA255A}"/>
                </c:ext>
              </c:extLst>
            </c:dLbl>
            <c:dLbl>
              <c:idx val="1"/>
              <c:layout>
                <c:manualLayout>
                  <c:x val="0"/>
                  <c:y val="0.11060675709186485"/>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1-4DB7-4D1B-B94A-EE3306FA255A}"/>
                </c:ext>
              </c:extLst>
            </c:dLbl>
            <c:dLbl>
              <c:idx val="2"/>
              <c:layout>
                <c:manualLayout>
                  <c:x val="-0.1326939059109391"/>
                  <c:y val="-4.8486276377750779E-3"/>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3-4DB7-4D1B-B94A-EE3306FA25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'Inventory_&amp;_Orders_Pivot'!$Q$18:$Q$21</c:f>
              <c:strCache>
                <c:ptCount val="3"/>
                <c:pt idx="0">
                  <c:v>cosmetics</c:v>
                </c:pt>
                <c:pt idx="1">
                  <c:v>haircare</c:v>
                </c:pt>
                <c:pt idx="2">
                  <c:v>skincare</c:v>
                </c:pt>
              </c:strCache>
            </c:strRef>
          </c:cat>
          <c:val>
            <c:numRef>
              <c:f>'Inventory_&amp;_Orders_Pivot'!$T$18:$T$21</c:f>
              <c:numCache>
                <c:formatCode>General</c:formatCode>
                <c:ptCount val="3"/>
                <c:pt idx="0">
                  <c:v>15.384615384615385</c:v>
                </c:pt>
                <c:pt idx="1">
                  <c:v>15.529411764705882</c:v>
                </c:pt>
                <c:pt idx="2">
                  <c:v>16.7</c:v>
                </c:pt>
              </c:numCache>
            </c:numRef>
          </c:val>
          <c:extLst>
            <c:ext xmlns:c16="http://schemas.microsoft.com/office/drawing/2014/chart" uri="{C3380CC4-5D6E-409C-BE32-E72D297353CC}">
              <c16:uniqueId val="{00000014-4DB7-4D1B-B94A-EE3306FA255A}"/>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200" b="1" i="0" u="none" strike="noStrike" cap="none" baseline="0">
                <a:solidFill>
                  <a:schemeClr val="tx1"/>
                </a:solidFill>
                <a:latin typeface="Times New Roman" panose="02020603050405020304" pitchFamily="18" charset="0"/>
                <a:cs typeface="Times New Roman" panose="02020603050405020304" pitchFamily="18" charset="0"/>
              </a:rPr>
              <a:t>Manufacturing Time </a:t>
            </a:r>
            <a:r>
              <a:rPr lang="en-IN" sz="1200" b="1" i="0" u="none" strike="noStrike" kern="1200" cap="none" spc="20" baseline="0">
                <a:solidFill>
                  <a:schemeClr val="tx1"/>
                </a:solidFill>
                <a:latin typeface="Times New Roman" panose="02020603050405020304" pitchFamily="18" charset="0"/>
                <a:cs typeface="Times New Roman" panose="02020603050405020304" pitchFamily="18" charset="0"/>
              </a:rPr>
              <a:t>Impact </a:t>
            </a:r>
            <a:r>
              <a:rPr lang="en-IN" sz="1200" b="1" i="0" u="none" strike="noStrike" cap="none" baseline="0">
                <a:solidFill>
                  <a:schemeClr val="tx1"/>
                </a:solidFill>
                <a:latin typeface="Times New Roman" panose="02020603050405020304" pitchFamily="18" charset="0"/>
                <a:cs typeface="Times New Roman" panose="02020603050405020304" pitchFamily="18" charset="0"/>
              </a:rPr>
              <a:t>on Inventory Position</a:t>
            </a:r>
            <a:endParaRPr lang="en-US" sz="12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5.7958678426436344E-2"/>
          <c:y val="0.16268876478803576"/>
          <c:w val="0.88172132338293741"/>
          <c:h val="0.62945801363256504"/>
        </c:manualLayout>
      </c:layout>
      <c:scatterChart>
        <c:scatterStyle val="lineMarker"/>
        <c:varyColors val="0"/>
        <c:ser>
          <c:idx val="0"/>
          <c:order val="0"/>
          <c:tx>
            <c:strRef>
              <c:f>'Inventory_&amp;_Orders_Pivot'!$H$7</c:f>
              <c:strCache>
                <c:ptCount val="1"/>
                <c:pt idx="0">
                  <c:v>Average of Lead time</c:v>
                </c:pt>
              </c:strCache>
            </c:strRef>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'Inventory_&amp;_Orders_Pivot'!$G$8:$G$107</c:f>
              <c:numCache>
                <c:formatCode>General</c:formatCode>
                <c:ptCount val="100"/>
                <c:pt idx="0">
                  <c:v>-747</c:v>
                </c:pt>
                <c:pt idx="1">
                  <c:v>-641</c:v>
                </c:pt>
                <c:pt idx="2">
                  <c:v>-985</c:v>
                </c:pt>
                <c:pt idx="3">
                  <c:v>-865</c:v>
                </c:pt>
                <c:pt idx="4">
                  <c:v>-295</c:v>
                </c:pt>
                <c:pt idx="5">
                  <c:v>-244</c:v>
                </c:pt>
                <c:pt idx="6">
                  <c:v>-536</c:v>
                </c:pt>
                <c:pt idx="7">
                  <c:v>-375</c:v>
                </c:pt>
                <c:pt idx="8">
                  <c:v>-206</c:v>
                </c:pt>
                <c:pt idx="9">
                  <c:v>-44</c:v>
                </c:pt>
                <c:pt idx="10">
                  <c:v>-597</c:v>
                </c:pt>
                <c:pt idx="11">
                  <c:v>-87</c:v>
                </c:pt>
                <c:pt idx="12">
                  <c:v>26</c:v>
                </c:pt>
                <c:pt idx="13">
                  <c:v>-298</c:v>
                </c:pt>
                <c:pt idx="14">
                  <c:v>-541</c:v>
                </c:pt>
                <c:pt idx="15">
                  <c:v>-829</c:v>
                </c:pt>
                <c:pt idx="16">
                  <c:v>-361</c:v>
                </c:pt>
                <c:pt idx="17">
                  <c:v>-177</c:v>
                </c:pt>
                <c:pt idx="18">
                  <c:v>-69</c:v>
                </c:pt>
                <c:pt idx="19">
                  <c:v>-344</c:v>
                </c:pt>
                <c:pt idx="20">
                  <c:v>-310</c:v>
                </c:pt>
                <c:pt idx="21">
                  <c:v>-382</c:v>
                </c:pt>
                <c:pt idx="22">
                  <c:v>-250</c:v>
                </c:pt>
                <c:pt idx="23">
                  <c:v>-15</c:v>
                </c:pt>
                <c:pt idx="24">
                  <c:v>-317</c:v>
                </c:pt>
                <c:pt idx="25">
                  <c:v>-140</c:v>
                </c:pt>
                <c:pt idx="26">
                  <c:v>-738</c:v>
                </c:pt>
                <c:pt idx="27">
                  <c:v>-553</c:v>
                </c:pt>
                <c:pt idx="28">
                  <c:v>-506</c:v>
                </c:pt>
                <c:pt idx="29">
                  <c:v>-438</c:v>
                </c:pt>
                <c:pt idx="30">
                  <c:v>-929</c:v>
                </c:pt>
                <c:pt idx="31">
                  <c:v>-958</c:v>
                </c:pt>
                <c:pt idx="32">
                  <c:v>-630</c:v>
                </c:pt>
                <c:pt idx="33">
                  <c:v>-150</c:v>
                </c:pt>
                <c:pt idx="34">
                  <c:v>-845</c:v>
                </c:pt>
                <c:pt idx="35">
                  <c:v>-836</c:v>
                </c:pt>
                <c:pt idx="36">
                  <c:v>-521</c:v>
                </c:pt>
                <c:pt idx="37">
                  <c:v>-57</c:v>
                </c:pt>
                <c:pt idx="38">
                  <c:v>-592</c:v>
                </c:pt>
                <c:pt idx="39">
                  <c:v>-885</c:v>
                </c:pt>
                <c:pt idx="40">
                  <c:v>-23</c:v>
                </c:pt>
                <c:pt idx="41">
                  <c:v>-784</c:v>
                </c:pt>
                <c:pt idx="42">
                  <c:v>-817</c:v>
                </c:pt>
                <c:pt idx="43">
                  <c:v>-1</c:v>
                </c:pt>
                <c:pt idx="44">
                  <c:v>-80</c:v>
                </c:pt>
                <c:pt idx="45">
                  <c:v>-60</c:v>
                </c:pt>
                <c:pt idx="46">
                  <c:v>-542</c:v>
                </c:pt>
                <c:pt idx="47">
                  <c:v>-93</c:v>
                </c:pt>
                <c:pt idx="48">
                  <c:v>-819</c:v>
                </c:pt>
                <c:pt idx="49">
                  <c:v>-149</c:v>
                </c:pt>
                <c:pt idx="50">
                  <c:v>-611</c:v>
                </c:pt>
                <c:pt idx="51">
                  <c:v>-685</c:v>
                </c:pt>
                <c:pt idx="52">
                  <c:v>-3</c:v>
                </c:pt>
                <c:pt idx="53">
                  <c:v>-162</c:v>
                </c:pt>
                <c:pt idx="54">
                  <c:v>-815</c:v>
                </c:pt>
                <c:pt idx="55">
                  <c:v>-454</c:v>
                </c:pt>
                <c:pt idx="56">
                  <c:v>-17</c:v>
                </c:pt>
                <c:pt idx="57">
                  <c:v>-364</c:v>
                </c:pt>
                <c:pt idx="58">
                  <c:v>-94</c:v>
                </c:pt>
                <c:pt idx="59">
                  <c:v>-181</c:v>
                </c:pt>
                <c:pt idx="60">
                  <c:v>-191</c:v>
                </c:pt>
                <c:pt idx="61">
                  <c:v>-123</c:v>
                </c:pt>
                <c:pt idx="62">
                  <c:v>-385</c:v>
                </c:pt>
                <c:pt idx="63">
                  <c:v>-652</c:v>
                </c:pt>
                <c:pt idx="64">
                  <c:v>-497</c:v>
                </c:pt>
                <c:pt idx="65">
                  <c:v>-134</c:v>
                </c:pt>
                <c:pt idx="66">
                  <c:v>-449</c:v>
                </c:pt>
                <c:pt idx="67">
                  <c:v>-367</c:v>
                </c:pt>
                <c:pt idx="68">
                  <c:v>58</c:v>
                </c:pt>
                <c:pt idx="69">
                  <c:v>-623</c:v>
                </c:pt>
                <c:pt idx="70">
                  <c:v>-390</c:v>
                </c:pt>
                <c:pt idx="71">
                  <c:v>-334</c:v>
                </c:pt>
                <c:pt idx="72">
                  <c:v>-840</c:v>
                </c:pt>
                <c:pt idx="73">
                  <c:v>-77</c:v>
                </c:pt>
                <c:pt idx="74">
                  <c:v>-218</c:v>
                </c:pt>
                <c:pt idx="75">
                  <c:v>-345</c:v>
                </c:pt>
                <c:pt idx="76">
                  <c:v>-896</c:v>
                </c:pt>
                <c:pt idx="77">
                  <c:v>-142</c:v>
                </c:pt>
                <c:pt idx="78">
                  <c:v>-72</c:v>
                </c:pt>
                <c:pt idx="79">
                  <c:v>-797</c:v>
                </c:pt>
                <c:pt idx="80">
                  <c:v>-765</c:v>
                </c:pt>
                <c:pt idx="81">
                  <c:v>-323</c:v>
                </c:pt>
                <c:pt idx="82">
                  <c:v>-581</c:v>
                </c:pt>
                <c:pt idx="83">
                  <c:v>-519</c:v>
                </c:pt>
                <c:pt idx="84">
                  <c:v>58</c:v>
                </c:pt>
                <c:pt idx="85">
                  <c:v>-205</c:v>
                </c:pt>
                <c:pt idx="86">
                  <c:v>-55</c:v>
                </c:pt>
                <c:pt idx="87">
                  <c:v>-679</c:v>
                </c:pt>
                <c:pt idx="88">
                  <c:v>-124</c:v>
                </c:pt>
                <c:pt idx="89">
                  <c:v>-945</c:v>
                </c:pt>
                <c:pt idx="90">
                  <c:v>-264</c:v>
                </c:pt>
                <c:pt idx="91">
                  <c:v>-826</c:v>
                </c:pt>
                <c:pt idx="92">
                  <c:v>-232</c:v>
                </c:pt>
                <c:pt idx="93">
                  <c:v>-26</c:v>
                </c:pt>
                <c:pt idx="94">
                  <c:v>-890</c:v>
                </c:pt>
                <c:pt idx="95">
                  <c:v>-607</c:v>
                </c:pt>
                <c:pt idx="96">
                  <c:v>-295</c:v>
                </c:pt>
                <c:pt idx="97">
                  <c:v>-6</c:v>
                </c:pt>
                <c:pt idx="98">
                  <c:v>-870</c:v>
                </c:pt>
                <c:pt idx="99">
                  <c:v>-610</c:v>
                </c:pt>
              </c:numCache>
            </c:numRef>
          </c:xVal>
          <c:yVal>
            <c:numRef>
              <c:f>'Inventory_&amp;_Orders_Pivot'!$H$8:$H$107</c:f>
              <c:numCache>
                <c:formatCode>General</c:formatCode>
                <c:ptCount val="100"/>
                <c:pt idx="0">
                  <c:v>29</c:v>
                </c:pt>
                <c:pt idx="1">
                  <c:v>30</c:v>
                </c:pt>
                <c:pt idx="2">
                  <c:v>5</c:v>
                </c:pt>
                <c:pt idx="3">
                  <c:v>11</c:v>
                </c:pt>
                <c:pt idx="4">
                  <c:v>3</c:v>
                </c:pt>
                <c:pt idx="5">
                  <c:v>10</c:v>
                </c:pt>
                <c:pt idx="6">
                  <c:v>14</c:v>
                </c:pt>
                <c:pt idx="7">
                  <c:v>7</c:v>
                </c:pt>
                <c:pt idx="8">
                  <c:v>21</c:v>
                </c:pt>
                <c:pt idx="9">
                  <c:v>16</c:v>
                </c:pt>
                <c:pt idx="10">
                  <c:v>17</c:v>
                </c:pt>
                <c:pt idx="11">
                  <c:v>16</c:v>
                </c:pt>
                <c:pt idx="12">
                  <c:v>27</c:v>
                </c:pt>
                <c:pt idx="13">
                  <c:v>6</c:v>
                </c:pt>
                <c:pt idx="14">
                  <c:v>4</c:v>
                </c:pt>
                <c:pt idx="15">
                  <c:v>28</c:v>
                </c:pt>
                <c:pt idx="16">
                  <c:v>29</c:v>
                </c:pt>
                <c:pt idx="17">
                  <c:v>3</c:v>
                </c:pt>
                <c:pt idx="18">
                  <c:v>23</c:v>
                </c:pt>
                <c:pt idx="19">
                  <c:v>4</c:v>
                </c:pt>
                <c:pt idx="20">
                  <c:v>4</c:v>
                </c:pt>
                <c:pt idx="21">
                  <c:v>7</c:v>
                </c:pt>
                <c:pt idx="22">
                  <c:v>7</c:v>
                </c:pt>
                <c:pt idx="23">
                  <c:v>18</c:v>
                </c:pt>
                <c:pt idx="24">
                  <c:v>30</c:v>
                </c:pt>
                <c:pt idx="25">
                  <c:v>8</c:v>
                </c:pt>
                <c:pt idx="26">
                  <c:v>7</c:v>
                </c:pt>
                <c:pt idx="27">
                  <c:v>23</c:v>
                </c:pt>
                <c:pt idx="28">
                  <c:v>10</c:v>
                </c:pt>
                <c:pt idx="29">
                  <c:v>2</c:v>
                </c:pt>
                <c:pt idx="30">
                  <c:v>19</c:v>
                </c:pt>
                <c:pt idx="31">
                  <c:v>15</c:v>
                </c:pt>
                <c:pt idx="32">
                  <c:v>12</c:v>
                </c:pt>
                <c:pt idx="33">
                  <c:v>6</c:v>
                </c:pt>
                <c:pt idx="34">
                  <c:v>3</c:v>
                </c:pt>
                <c:pt idx="35">
                  <c:v>1</c:v>
                </c:pt>
                <c:pt idx="36">
                  <c:v>7</c:v>
                </c:pt>
                <c:pt idx="37">
                  <c:v>7</c:v>
                </c:pt>
                <c:pt idx="38">
                  <c:v>23</c:v>
                </c:pt>
                <c:pt idx="39">
                  <c:v>18</c:v>
                </c:pt>
                <c:pt idx="40">
                  <c:v>25</c:v>
                </c:pt>
                <c:pt idx="41">
                  <c:v>23</c:v>
                </c:pt>
                <c:pt idx="42">
                  <c:v>20</c:v>
                </c:pt>
                <c:pt idx="43">
                  <c:v>18</c:v>
                </c:pt>
                <c:pt idx="44">
                  <c:v>28</c:v>
                </c:pt>
                <c:pt idx="45">
                  <c:v>17</c:v>
                </c:pt>
                <c:pt idx="46">
                  <c:v>21</c:v>
                </c:pt>
                <c:pt idx="47">
                  <c:v>28</c:v>
                </c:pt>
                <c:pt idx="48">
                  <c:v>27</c:v>
                </c:pt>
                <c:pt idx="49">
                  <c:v>17</c:v>
                </c:pt>
                <c:pt idx="50">
                  <c:v>29</c:v>
                </c:pt>
                <c:pt idx="51">
                  <c:v>5</c:v>
                </c:pt>
                <c:pt idx="52">
                  <c:v>28</c:v>
                </c:pt>
                <c:pt idx="53">
                  <c:v>25</c:v>
                </c:pt>
                <c:pt idx="54">
                  <c:v>7</c:v>
                </c:pt>
                <c:pt idx="55">
                  <c:v>4</c:v>
                </c:pt>
                <c:pt idx="56">
                  <c:v>24</c:v>
                </c:pt>
                <c:pt idx="57">
                  <c:v>24</c:v>
                </c:pt>
                <c:pt idx="58">
                  <c:v>12</c:v>
                </c:pt>
                <c:pt idx="59">
                  <c:v>14</c:v>
                </c:pt>
                <c:pt idx="60">
                  <c:v>10</c:v>
                </c:pt>
                <c:pt idx="61">
                  <c:v>6</c:v>
                </c:pt>
                <c:pt idx="62">
                  <c:v>21</c:v>
                </c:pt>
                <c:pt idx="63">
                  <c:v>28</c:v>
                </c:pt>
                <c:pt idx="64">
                  <c:v>11</c:v>
                </c:pt>
                <c:pt idx="65">
                  <c:v>18</c:v>
                </c:pt>
                <c:pt idx="66">
                  <c:v>7</c:v>
                </c:pt>
                <c:pt idx="67">
                  <c:v>1</c:v>
                </c:pt>
                <c:pt idx="68">
                  <c:v>16</c:v>
                </c:pt>
                <c:pt idx="69">
                  <c:v>10</c:v>
                </c:pt>
                <c:pt idx="70">
                  <c:v>11</c:v>
                </c:pt>
                <c:pt idx="71">
                  <c:v>4</c:v>
                </c:pt>
                <c:pt idx="72">
                  <c:v>9</c:v>
                </c:pt>
                <c:pt idx="73">
                  <c:v>11</c:v>
                </c:pt>
                <c:pt idx="74">
                  <c:v>24</c:v>
                </c:pt>
                <c:pt idx="75">
                  <c:v>5</c:v>
                </c:pt>
                <c:pt idx="76">
                  <c:v>21</c:v>
                </c:pt>
                <c:pt idx="77">
                  <c:v>12</c:v>
                </c:pt>
                <c:pt idx="78">
                  <c:v>8</c:v>
                </c:pt>
                <c:pt idx="79">
                  <c:v>5</c:v>
                </c:pt>
                <c:pt idx="80">
                  <c:v>1</c:v>
                </c:pt>
                <c:pt idx="81">
                  <c:v>26</c:v>
                </c:pt>
                <c:pt idx="82">
                  <c:v>5</c:v>
                </c:pt>
                <c:pt idx="83">
                  <c:v>22</c:v>
                </c:pt>
                <c:pt idx="84">
                  <c:v>2</c:v>
                </c:pt>
                <c:pt idx="85">
                  <c:v>18</c:v>
                </c:pt>
                <c:pt idx="86">
                  <c:v>17</c:v>
                </c:pt>
                <c:pt idx="87">
                  <c:v>11</c:v>
                </c:pt>
                <c:pt idx="88">
                  <c:v>11</c:v>
                </c:pt>
                <c:pt idx="89">
                  <c:v>23</c:v>
                </c:pt>
                <c:pt idx="90">
                  <c:v>8</c:v>
                </c:pt>
                <c:pt idx="91">
                  <c:v>28</c:v>
                </c:pt>
                <c:pt idx="92">
                  <c:v>29</c:v>
                </c:pt>
                <c:pt idx="93">
                  <c:v>20</c:v>
                </c:pt>
                <c:pt idx="94">
                  <c:v>14</c:v>
                </c:pt>
                <c:pt idx="95">
                  <c:v>26</c:v>
                </c:pt>
                <c:pt idx="96">
                  <c:v>28</c:v>
                </c:pt>
                <c:pt idx="97">
                  <c:v>13</c:v>
                </c:pt>
                <c:pt idx="98">
                  <c:v>9</c:v>
                </c:pt>
                <c:pt idx="99">
                  <c:v>2</c:v>
                </c:pt>
              </c:numCache>
            </c:numRef>
          </c:yVal>
          <c:smooth val="0"/>
          <c:extLst>
            <c:ext xmlns:c16="http://schemas.microsoft.com/office/drawing/2014/chart" uri="{C3380CC4-5D6E-409C-BE32-E72D297353CC}">
              <c16:uniqueId val="{00000000-4C27-4D5A-81F9-0F1C7674A8DD}"/>
            </c:ext>
          </c:extLst>
        </c:ser>
        <c:dLbls>
          <c:showLegendKey val="0"/>
          <c:showVal val="0"/>
          <c:showCatName val="0"/>
          <c:showSerName val="0"/>
          <c:showPercent val="0"/>
          <c:showBubbleSize val="0"/>
        </c:dLbls>
        <c:axId val="764258863"/>
        <c:axId val="764259823"/>
      </c:scatterChart>
      <c:valAx>
        <c:axId val="76425886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IN">
                    <a:solidFill>
                      <a:schemeClr val="tx1"/>
                    </a:solidFill>
                  </a:rPr>
                  <a:t>inventory count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spc="0" baseline="0">
                <a:solidFill>
                  <a:schemeClr val="tx1"/>
                </a:solidFill>
                <a:latin typeface="+mn-lt"/>
                <a:ea typeface="+mn-ea"/>
                <a:cs typeface="+mn-cs"/>
              </a:defRPr>
            </a:pPr>
            <a:endParaRPr lang="en-US"/>
          </a:p>
        </c:txPr>
        <c:crossAx val="764259823"/>
        <c:crosses val="autoZero"/>
        <c:crossBetween val="midCat"/>
      </c:valAx>
      <c:valAx>
        <c:axId val="76425982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IN">
                    <a:solidFill>
                      <a:schemeClr val="tx1"/>
                    </a:solidFill>
                  </a:rPr>
                  <a:t>Average Manufacturing Time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tx1"/>
                </a:solidFill>
                <a:latin typeface="+mn-lt"/>
                <a:ea typeface="+mn-ea"/>
                <a:cs typeface="+mn-cs"/>
              </a:defRPr>
            </a:pPr>
            <a:endParaRPr lang="en-US"/>
          </a:p>
        </c:txPr>
        <c:crossAx val="764258863"/>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Dashboard.xlsx]Supplier_&amp;_Manufacturing_Pivot!PivotTable19</c:name>
    <c:fmtId val="1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t>Supplier based manufacturing Time &amp; Cost</a:t>
            </a:r>
          </a:p>
        </c:rich>
      </c:tx>
      <c:layout>
        <c:manualLayout>
          <c:xMode val="edge"/>
          <c:yMode val="edge"/>
          <c:x val="9.0709882907197337E-2"/>
          <c:y val="8.8275066646893413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138888888888888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27A1E7F4-6F9A-4AEF-A340-DC78A40BC5F5}" type="VALUE">
                  <a:rPr lang="en-US" sz="800" b="1">
                    <a:solidFill>
                      <a:schemeClr val="bg1"/>
                    </a:solidFill>
                  </a:rPr>
                  <a:pPr>
                    <a:defRPr sz="900" b="0"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2129629629629629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2F73EF5E-E4B5-43EA-BD25-D323CB961125}" type="VALUE">
                  <a:rPr lang="en-US" sz="800" b="1">
                    <a:solidFill>
                      <a:schemeClr val="bg1"/>
                    </a:solidFill>
                  </a:rPr>
                  <a:pPr>
                    <a:defRPr sz="900" b="0"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6.0836489758492401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3.802280609905774E-2"/>
              <c:y val="-0.15740740740740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6471781719526941E-17"/>
              <c:y val="0.1805555555555555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437A0238-CD4E-4BF2-90A1-2E9F50CCD5F7}" type="VALUE">
                  <a:rPr lang="en-US" sz="800" b="1">
                    <a:solidFill>
                      <a:schemeClr val="bg1"/>
                    </a:solidFill>
                  </a:rPr>
                  <a:pPr>
                    <a:defRPr sz="900" b="0"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7.604561219811538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1435185185185184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74B61D4-B678-460D-B718-96AAA86EDB6C}" type="VALUE">
                  <a:rPr lang="en-US" sz="800" b="1">
                    <a:solidFill>
                      <a:schemeClr val="bg1"/>
                    </a:solidFill>
                  </a:rPr>
                  <a:pPr>
                    <a:defRPr sz="900" b="0"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9.885929585755000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138888888888888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27A1E7F4-6F9A-4AEF-A340-DC78A40BC5F5}" type="VALUE">
                  <a:rPr lang="en-US" sz="800" b="1">
                    <a:solidFill>
                      <a:schemeClr val="bg1"/>
                    </a:solidFill>
                  </a:rPr>
                  <a:pPr>
                    <a:defRPr sz="900" b="0"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2129629629629629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2F73EF5E-E4B5-43EA-BD25-D323CB961125}" type="VALUE">
                  <a:rPr lang="en-US" sz="800" b="1">
                    <a:solidFill>
                      <a:schemeClr val="bg1"/>
                    </a:solidFill>
                  </a:rPr>
                  <a:pPr>
                    <a:defRPr sz="900" b="0"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6471781719526941E-17"/>
              <c:y val="0.1805555555555555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437A0238-CD4E-4BF2-90A1-2E9F50CCD5F7}" type="VALUE">
                  <a:rPr lang="en-US" sz="800" b="1">
                    <a:solidFill>
                      <a:schemeClr val="bg1"/>
                    </a:solidFill>
                  </a:rPr>
                  <a:pPr>
                    <a:defRPr sz="900" b="0"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1435185185185184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74B61D4-B678-460D-B718-96AAA86EDB6C}" type="VALUE">
                  <a:rPr lang="en-US" sz="800" b="1">
                    <a:solidFill>
                      <a:schemeClr val="bg1"/>
                    </a:solidFill>
                  </a:rPr>
                  <a:pPr>
                    <a:defRPr sz="900" b="0"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2129629629629629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2F73EF5E-E4B5-43EA-BD25-D323CB961125}" type="VALUE">
                  <a:rPr lang="en-US" sz="800" b="1">
                    <a:solidFill>
                      <a:schemeClr val="bg1"/>
                    </a:solidFill>
                  </a:rPr>
                  <a:pPr>
                    <a:defRPr sz="900" b="0"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6.0836489758492401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3.802280609905774E-2"/>
              <c:y val="-0.15740740740740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7.604561219811538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9.885929585755000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6.0836489758492401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1388888888888889"/>
            </c:manualLayout>
          </c:layout>
          <c:tx>
            <c:rich>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fld id="{27A1E7F4-6F9A-4AEF-A340-DC78A40BC5F5}" type="VALUE">
                  <a:rPr lang="en-US" sz="800"/>
                  <a:pPr>
                    <a:defRPr sz="700"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21296296296296297"/>
            </c:manualLayout>
          </c:layout>
          <c:tx>
            <c:rich>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fld id="{2F73EF5E-E4B5-43EA-BD25-D323CB961125}" type="VALUE">
                  <a:rPr lang="en-US" sz="800"/>
                  <a:pPr>
                    <a:defRPr sz="700"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6471781719526941E-17"/>
              <c:y val="0.18055555555555555"/>
            </c:manualLayout>
          </c:layout>
          <c:tx>
            <c:rich>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fld id="{437A0238-CD4E-4BF2-90A1-2E9F50CCD5F7}" type="VALUE">
                  <a:rPr lang="en-US" sz="800"/>
                  <a:pPr>
                    <a:defRPr sz="700"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14351851851851843"/>
            </c:manualLayout>
          </c:layout>
          <c:tx>
            <c:rich>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fld id="{C74B61D4-B678-460D-B718-96AAA86EDB6C}" type="VALUE">
                  <a:rPr lang="en-US" sz="800"/>
                  <a:pPr>
                    <a:defRPr sz="700"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21296296296296297"/>
            </c:manualLayout>
          </c:layout>
          <c:tx>
            <c:rich>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fld id="{2F73EF5E-E4B5-43EA-BD25-D323CB961125}" type="VALUE">
                  <a:rPr lang="en-US" sz="800"/>
                  <a:pPr>
                    <a:defRPr sz="700" b="1">
                      <a:solidFill>
                        <a:schemeClr val="bg1"/>
                      </a:solidFill>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6.0836392342528377E-2"/>
              <c:y val="-0.1073143252340284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3.802280609905774E-2"/>
              <c:y val="-0.15740740740740744"/>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7.6045612198115384E-2"/>
              <c:y val="-9.259259259259258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9.8859295857550003E-2"/>
              <c:y val="-4.1666666666666664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6.0836489758492401E-2"/>
              <c:y val="-0.12962962962962968"/>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06885501055756"/>
          <c:y val="0.26328484981044037"/>
          <c:w val="0.47317276465320107"/>
          <c:h val="0.50108996792067662"/>
        </c:manualLayout>
      </c:layout>
      <c:barChart>
        <c:barDir val="col"/>
        <c:grouping val="clustered"/>
        <c:varyColors val="0"/>
        <c:ser>
          <c:idx val="0"/>
          <c:order val="0"/>
          <c:tx>
            <c:strRef>
              <c:f>'Supplier_&amp;_Manufacturing_Pivot'!$B$1</c:f>
              <c:strCache>
                <c:ptCount val="1"/>
                <c:pt idx="0">
                  <c:v>Sum of Manufacturing lead time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0-290F-414C-A9F1-7B9A4CDC4573}"/>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90F-414C-A9F1-7B9A4CDC4573}"/>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290F-414C-A9F1-7B9A4CDC4573}"/>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290F-414C-A9F1-7B9A4CDC4573}"/>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4-290F-414C-A9F1-7B9A4CDC4573}"/>
              </c:ext>
            </c:extLst>
          </c:dPt>
          <c:dLbls>
            <c:dLbl>
              <c:idx val="0"/>
              <c:layout>
                <c:manualLayout>
                  <c:x val="0"/>
                  <c:y val="0.1388888888888889"/>
                </c:manualLayout>
              </c:layout>
              <c:tx>
                <c:rich>
                  <a:bodyPr/>
                  <a:lstStyle/>
                  <a:p>
                    <a:fld id="{27A1E7F4-6F9A-4AEF-A340-DC78A40BC5F5}" type="VALUE">
                      <a:rPr lang="en-US" sz="8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290F-414C-A9F1-7B9A4CDC4573}"/>
                </c:ext>
              </c:extLst>
            </c:dLbl>
            <c:dLbl>
              <c:idx val="1"/>
              <c:layout>
                <c:manualLayout>
                  <c:x val="0"/>
                  <c:y val="0.21296296296296297"/>
                </c:manualLayout>
              </c:layout>
              <c:tx>
                <c:rich>
                  <a:bodyPr/>
                  <a:lstStyle/>
                  <a:p>
                    <a:fld id="{2F73EF5E-E4B5-43EA-BD25-D323CB961125}" type="VALUE">
                      <a:rPr lang="en-US" sz="8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90F-414C-A9F1-7B9A4CDC4573}"/>
                </c:ext>
              </c:extLst>
            </c:dLbl>
            <c:dLbl>
              <c:idx val="2"/>
              <c:layout>
                <c:manualLayout>
                  <c:x val="-4.6471781719526941E-17"/>
                  <c:y val="0.18055555555555555"/>
                </c:manualLayout>
              </c:layout>
              <c:tx>
                <c:rich>
                  <a:bodyPr/>
                  <a:lstStyle/>
                  <a:p>
                    <a:fld id="{437A0238-CD4E-4BF2-90A1-2E9F50CCD5F7}" type="VALUE">
                      <a:rPr lang="en-US" sz="8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90F-414C-A9F1-7B9A4CDC4573}"/>
                </c:ext>
              </c:extLst>
            </c:dLbl>
            <c:dLbl>
              <c:idx val="3"/>
              <c:layout>
                <c:manualLayout>
                  <c:x val="0"/>
                  <c:y val="0.14351851851851843"/>
                </c:manualLayout>
              </c:layout>
              <c:tx>
                <c:rich>
                  <a:bodyPr/>
                  <a:lstStyle/>
                  <a:p>
                    <a:fld id="{C74B61D4-B678-460D-B718-96AAA86EDB6C}" type="VALUE">
                      <a:rPr lang="en-US" sz="8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90F-414C-A9F1-7B9A4CDC4573}"/>
                </c:ext>
              </c:extLst>
            </c:dLbl>
            <c:dLbl>
              <c:idx val="4"/>
              <c:layout>
                <c:manualLayout>
                  <c:x val="0"/>
                  <c:y val="0.21296296296296297"/>
                </c:manualLayout>
              </c:layout>
              <c:tx>
                <c:rich>
                  <a:bodyPr/>
                  <a:lstStyle/>
                  <a:p>
                    <a:fld id="{2F73EF5E-E4B5-43EA-BD25-D323CB961125}" type="VALUE">
                      <a:rPr lang="en-US" sz="8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90F-414C-A9F1-7B9A4CDC4573}"/>
                </c:ext>
              </c:extLst>
            </c:dLbl>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'Supplier_&amp;_Manufacturing_Pivot'!$A$2:$A$7</c:f>
              <c:strCache>
                <c:ptCount val="5"/>
                <c:pt idx="0">
                  <c:v>Supplier 1</c:v>
                </c:pt>
                <c:pt idx="1">
                  <c:v>Supplier 2</c:v>
                </c:pt>
                <c:pt idx="2">
                  <c:v>Supplier 3</c:v>
                </c:pt>
                <c:pt idx="3">
                  <c:v>Supplier 4</c:v>
                </c:pt>
                <c:pt idx="4">
                  <c:v>Supplier 5</c:v>
                </c:pt>
              </c:strCache>
            </c:strRef>
          </c:cat>
          <c:val>
            <c:numRef>
              <c:f>'Supplier_&amp;_Manufacturing_Pivot'!$B$2:$B$7</c:f>
              <c:numCache>
                <c:formatCode>General</c:formatCode>
                <c:ptCount val="5"/>
                <c:pt idx="0">
                  <c:v>340</c:v>
                </c:pt>
                <c:pt idx="1">
                  <c:v>343</c:v>
                </c:pt>
                <c:pt idx="2">
                  <c:v>224</c:v>
                </c:pt>
                <c:pt idx="3">
                  <c:v>276</c:v>
                </c:pt>
                <c:pt idx="4">
                  <c:v>294</c:v>
                </c:pt>
              </c:numCache>
            </c:numRef>
          </c:val>
          <c:extLst>
            <c:ext xmlns:c16="http://schemas.microsoft.com/office/drawing/2014/chart" uri="{C3380CC4-5D6E-409C-BE32-E72D297353CC}">
              <c16:uniqueId val="{00000005-290F-414C-A9F1-7B9A4CDC4573}"/>
            </c:ext>
          </c:extLst>
        </c:ser>
        <c:dLbls>
          <c:showLegendKey val="0"/>
          <c:showVal val="1"/>
          <c:showCatName val="0"/>
          <c:showSerName val="0"/>
          <c:showPercent val="0"/>
          <c:showBubbleSize val="0"/>
        </c:dLbls>
        <c:gapWidth val="98"/>
        <c:axId val="1868437552"/>
        <c:axId val="1868414512"/>
      </c:barChart>
      <c:lineChart>
        <c:grouping val="stacked"/>
        <c:varyColors val="0"/>
        <c:ser>
          <c:idx val="1"/>
          <c:order val="1"/>
          <c:tx>
            <c:strRef>
              <c:f>'Supplier_&amp;_Manufacturing_Pivot'!$C$1</c:f>
              <c:strCache>
                <c:ptCount val="1"/>
                <c:pt idx="0">
                  <c:v>Sum of Manufacturing costs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6-290F-414C-A9F1-7B9A4CDC4573}"/>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7-290F-414C-A9F1-7B9A4CDC4573}"/>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8-290F-414C-A9F1-7B9A4CDC4573}"/>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9-290F-414C-A9F1-7B9A4CDC4573}"/>
              </c:ext>
            </c:extLst>
          </c:dPt>
          <c:dPt>
            <c:idx val="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A-290F-414C-A9F1-7B9A4CDC4573}"/>
              </c:ext>
            </c:extLst>
          </c:dPt>
          <c:dLbls>
            <c:dLbl>
              <c:idx val="0"/>
              <c:layout>
                <c:manualLayout>
                  <c:x val="-6.0836392342528377E-2"/>
                  <c:y val="-0.107314325234028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90F-414C-A9F1-7B9A4CDC4573}"/>
                </c:ext>
              </c:extLst>
            </c:dLbl>
            <c:dLbl>
              <c:idx val="1"/>
              <c:layout>
                <c:manualLayout>
                  <c:x val="-3.802280609905774E-2"/>
                  <c:y val="-0.15740740740740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90F-414C-A9F1-7B9A4CDC4573}"/>
                </c:ext>
              </c:extLst>
            </c:dLbl>
            <c:dLbl>
              <c:idx val="2"/>
              <c:layout>
                <c:manualLayout>
                  <c:x val="-7.6045612198115384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90F-414C-A9F1-7B9A4CDC4573}"/>
                </c:ext>
              </c:extLst>
            </c:dLbl>
            <c:dLbl>
              <c:idx val="3"/>
              <c:layout>
                <c:manualLayout>
                  <c:x val="-9.885929585755000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90F-414C-A9F1-7B9A4CDC4573}"/>
                </c:ext>
              </c:extLst>
            </c:dLbl>
            <c:dLbl>
              <c:idx val="4"/>
              <c:layout>
                <c:manualLayout>
                  <c:x val="-6.0836489758492401E-2"/>
                  <c:y val="-0.129629629629629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90F-414C-A9F1-7B9A4CDC4573}"/>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'Supplier_&amp;_Manufacturing_Pivot'!$A$2:$A$7</c:f>
              <c:strCache>
                <c:ptCount val="5"/>
                <c:pt idx="0">
                  <c:v>Supplier 1</c:v>
                </c:pt>
                <c:pt idx="1">
                  <c:v>Supplier 2</c:v>
                </c:pt>
                <c:pt idx="2">
                  <c:v>Supplier 3</c:v>
                </c:pt>
                <c:pt idx="3">
                  <c:v>Supplier 4</c:v>
                </c:pt>
                <c:pt idx="4">
                  <c:v>Supplier 5</c:v>
                </c:pt>
              </c:strCache>
            </c:strRef>
          </c:cat>
          <c:val>
            <c:numRef>
              <c:f>'Supplier_&amp;_Manufacturing_Pivot'!$C$2:$C$7</c:f>
              <c:numCache>
                <c:formatCode>_ [$₹-4009]\ * #,##0.00_ ;_ [$₹-4009]\ * \-#,##0.00_ ;_ [$₹-4009]\ * "-"??_ ;_ @_ </c:formatCode>
                <c:ptCount val="5"/>
                <c:pt idx="0">
                  <c:v>1221.8589000000002</c:v>
                </c:pt>
                <c:pt idx="1">
                  <c:v>915.69540000000006</c:v>
                </c:pt>
                <c:pt idx="2">
                  <c:v>654.51200000000006</c:v>
                </c:pt>
                <c:pt idx="3">
                  <c:v>1128.7753</c:v>
                </c:pt>
                <c:pt idx="4">
                  <c:v>805.82819999999992</c:v>
                </c:pt>
              </c:numCache>
            </c:numRef>
          </c:val>
          <c:smooth val="0"/>
          <c:extLst>
            <c:ext xmlns:c16="http://schemas.microsoft.com/office/drawing/2014/chart" uri="{C3380CC4-5D6E-409C-BE32-E72D297353CC}">
              <c16:uniqueId val="{0000000B-290F-414C-A9F1-7B9A4CDC4573}"/>
            </c:ext>
          </c:extLst>
        </c:ser>
        <c:dLbls>
          <c:showLegendKey val="0"/>
          <c:showVal val="1"/>
          <c:showCatName val="0"/>
          <c:showSerName val="0"/>
          <c:showPercent val="0"/>
          <c:showBubbleSize val="0"/>
        </c:dLbls>
        <c:marker val="1"/>
        <c:smooth val="0"/>
        <c:axId val="1868427472"/>
        <c:axId val="1868421232"/>
      </c:lineChart>
      <c:catAx>
        <c:axId val="1868437552"/>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Suppliers</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414512"/>
        <c:crosses val="autoZero"/>
        <c:auto val="1"/>
        <c:lblAlgn val="ctr"/>
        <c:lblOffset val="100"/>
        <c:noMultiLvlLbl val="0"/>
      </c:catAx>
      <c:valAx>
        <c:axId val="18684145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Manufacturing Time (in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437552"/>
        <c:crosses val="autoZero"/>
        <c:crossBetween val="between"/>
      </c:valAx>
      <c:valAx>
        <c:axId val="1868421232"/>
        <c:scaling>
          <c:orientation val="minMax"/>
        </c:scaling>
        <c:delete val="0"/>
        <c:axPos val="r"/>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Manufacturing Cost</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427472"/>
        <c:crosses val="max"/>
        <c:crossBetween val="between"/>
      </c:valAx>
      <c:catAx>
        <c:axId val="1868427472"/>
        <c:scaling>
          <c:orientation val="minMax"/>
        </c:scaling>
        <c:delete val="1"/>
        <c:axPos val="b"/>
        <c:numFmt formatCode="General" sourceLinked="1"/>
        <c:majorTickMark val="none"/>
        <c:minorTickMark val="none"/>
        <c:tickLblPos val="nextTo"/>
        <c:crossAx val="1868421232"/>
        <c:crosses val="autoZero"/>
        <c:auto val="1"/>
        <c:lblAlgn val="ctr"/>
        <c:lblOffset val="100"/>
        <c:noMultiLvlLbl val="0"/>
      </c:catAx>
      <c:spPr>
        <a:noFill/>
        <a:ln>
          <a:noFill/>
        </a:ln>
        <a:effectLst/>
      </c:spPr>
    </c:plotArea>
    <c:legend>
      <c:legendPos val="r"/>
      <c:layout>
        <c:manualLayout>
          <c:xMode val="edge"/>
          <c:yMode val="edge"/>
          <c:x val="0.78073515149543393"/>
          <c:y val="0.26402777777777775"/>
          <c:w val="0.17870718866557117"/>
          <c:h val="0.5834722222222221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Dashboard.xlsx]Supplier_&amp;_Manufacturing_Pivot!PivotTable20</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t>Inspection Result</a:t>
            </a:r>
          </a:p>
        </c:rich>
      </c:tx>
      <c:layout>
        <c:manualLayout>
          <c:xMode val="edge"/>
          <c:yMode val="edge"/>
          <c:x val="0.41710402432160903"/>
          <c:y val="4.5275590551181105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652731380606074"/>
          <c:y val="0.16347003499562554"/>
          <c:w val="0.38221019247594057"/>
          <c:h val="0.6366072470107903"/>
        </c:manualLayout>
      </c:layout>
      <c:barChart>
        <c:barDir val="bar"/>
        <c:grouping val="clustered"/>
        <c:varyColors val="0"/>
        <c:ser>
          <c:idx val="0"/>
          <c:order val="0"/>
          <c:tx>
            <c:strRef>
              <c:f>'Supplier_&amp;_Manufacturing_Pivot'!$B$9:$B$10</c:f>
              <c:strCache>
                <c:ptCount val="1"/>
                <c:pt idx="0">
                  <c:v>Fail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'Supplier_&amp;_Manufacturing_Pivot'!$A$11:$A$16</c:f>
              <c:strCache>
                <c:ptCount val="5"/>
                <c:pt idx="0">
                  <c:v>Supplier 1</c:v>
                </c:pt>
                <c:pt idx="1">
                  <c:v>Supplier 2</c:v>
                </c:pt>
                <c:pt idx="2">
                  <c:v>Supplier 3</c:v>
                </c:pt>
                <c:pt idx="3">
                  <c:v>Supplier 4</c:v>
                </c:pt>
                <c:pt idx="4">
                  <c:v>Supplier 5</c:v>
                </c:pt>
              </c:strCache>
            </c:strRef>
          </c:cat>
          <c:val>
            <c:numRef>
              <c:f>'Supplier_&amp;_Manufacturing_Pivot'!$B$11:$B$16</c:f>
              <c:numCache>
                <c:formatCode>General</c:formatCode>
                <c:ptCount val="5"/>
                <c:pt idx="0">
                  <c:v>1985</c:v>
                </c:pt>
                <c:pt idx="1">
                  <c:v>4925</c:v>
                </c:pt>
                <c:pt idx="2">
                  <c:v>1121</c:v>
                </c:pt>
                <c:pt idx="3">
                  <c:v>7728</c:v>
                </c:pt>
                <c:pt idx="4">
                  <c:v>3094</c:v>
                </c:pt>
              </c:numCache>
            </c:numRef>
          </c:val>
          <c:extLst>
            <c:ext xmlns:c16="http://schemas.microsoft.com/office/drawing/2014/chart" uri="{C3380CC4-5D6E-409C-BE32-E72D297353CC}">
              <c16:uniqueId val="{00000000-C242-48F6-A0EA-AB024F9C6F91}"/>
            </c:ext>
          </c:extLst>
        </c:ser>
        <c:ser>
          <c:idx val="1"/>
          <c:order val="1"/>
          <c:tx>
            <c:strRef>
              <c:f>'Supplier_&amp;_Manufacturing_Pivot'!$C$9:$C$10</c:f>
              <c:strCache>
                <c:ptCount val="1"/>
                <c:pt idx="0">
                  <c:v>Pass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'Supplier_&amp;_Manufacturing_Pivot'!$A$11:$A$16</c:f>
              <c:strCache>
                <c:ptCount val="5"/>
                <c:pt idx="0">
                  <c:v>Supplier 1</c:v>
                </c:pt>
                <c:pt idx="1">
                  <c:v>Supplier 2</c:v>
                </c:pt>
                <c:pt idx="2">
                  <c:v>Supplier 3</c:v>
                </c:pt>
                <c:pt idx="3">
                  <c:v>Supplier 4</c:v>
                </c:pt>
                <c:pt idx="4">
                  <c:v>Supplier 5</c:v>
                </c:pt>
              </c:strCache>
            </c:strRef>
          </c:cat>
          <c:val>
            <c:numRef>
              <c:f>'Supplier_&amp;_Manufacturing_Pivot'!$C$11:$C$16</c:f>
              <c:numCache>
                <c:formatCode>General</c:formatCode>
                <c:ptCount val="5"/>
                <c:pt idx="0">
                  <c:v>6394</c:v>
                </c:pt>
                <c:pt idx="1">
                  <c:v>3295</c:v>
                </c:pt>
                <c:pt idx="2">
                  <c:v>1322</c:v>
                </c:pt>
                <c:pt idx="4">
                  <c:v>1596</c:v>
                </c:pt>
              </c:numCache>
            </c:numRef>
          </c:val>
          <c:extLst>
            <c:ext xmlns:c16="http://schemas.microsoft.com/office/drawing/2014/chart" uri="{C3380CC4-5D6E-409C-BE32-E72D297353CC}">
              <c16:uniqueId val="{00000001-73A3-4D85-AAF3-E605CEA696FF}"/>
            </c:ext>
          </c:extLst>
        </c:ser>
        <c:ser>
          <c:idx val="2"/>
          <c:order val="2"/>
          <c:tx>
            <c:strRef>
              <c:f>'Supplier_&amp;_Manufacturing_Pivot'!$D$9:$D$10</c:f>
              <c:strCache>
                <c:ptCount val="1"/>
                <c:pt idx="0">
                  <c:v>Pending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'Supplier_&amp;_Manufacturing_Pivot'!$A$11:$A$16</c:f>
              <c:strCache>
                <c:ptCount val="5"/>
                <c:pt idx="0">
                  <c:v>Supplier 1</c:v>
                </c:pt>
                <c:pt idx="1">
                  <c:v>Supplier 2</c:v>
                </c:pt>
                <c:pt idx="2">
                  <c:v>Supplier 3</c:v>
                </c:pt>
                <c:pt idx="3">
                  <c:v>Supplier 4</c:v>
                </c:pt>
                <c:pt idx="4">
                  <c:v>Supplier 5</c:v>
                </c:pt>
              </c:strCache>
            </c:strRef>
          </c:cat>
          <c:val>
            <c:numRef>
              <c:f>'Supplier_&amp;_Manufacturing_Pivot'!$D$11:$D$16</c:f>
              <c:numCache>
                <c:formatCode>General</c:formatCode>
                <c:ptCount val="5"/>
                <c:pt idx="0">
                  <c:v>5166</c:v>
                </c:pt>
                <c:pt idx="1">
                  <c:v>5885</c:v>
                </c:pt>
                <c:pt idx="2">
                  <c:v>5554</c:v>
                </c:pt>
                <c:pt idx="3">
                  <c:v>4028</c:v>
                </c:pt>
                <c:pt idx="4">
                  <c:v>4691</c:v>
                </c:pt>
              </c:numCache>
            </c:numRef>
          </c:val>
          <c:extLst>
            <c:ext xmlns:c16="http://schemas.microsoft.com/office/drawing/2014/chart" uri="{C3380CC4-5D6E-409C-BE32-E72D297353CC}">
              <c16:uniqueId val="{00000002-73A3-4D85-AAF3-E605CEA696FF}"/>
            </c:ext>
          </c:extLst>
        </c:ser>
        <c:dLbls>
          <c:dLblPos val="outEnd"/>
          <c:showLegendKey val="0"/>
          <c:showVal val="1"/>
          <c:showCatName val="0"/>
          <c:showSerName val="0"/>
          <c:showPercent val="0"/>
          <c:showBubbleSize val="0"/>
        </c:dLbls>
        <c:gapWidth val="115"/>
        <c:overlap val="-20"/>
        <c:axId val="1040630800"/>
        <c:axId val="1040626000"/>
      </c:barChart>
      <c:catAx>
        <c:axId val="1040630800"/>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IN"/>
                  <a:t>Suppliers</a:t>
                </a:r>
              </a:p>
            </c:rich>
          </c:tx>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40626000"/>
        <c:crosses val="autoZero"/>
        <c:auto val="1"/>
        <c:lblAlgn val="ctr"/>
        <c:lblOffset val="100"/>
        <c:noMultiLvlLbl val="0"/>
      </c:catAx>
      <c:valAx>
        <c:axId val="1040626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IN"/>
                  <a:t>Production Volume</a:t>
                </a:r>
              </a:p>
            </c:rich>
          </c:tx>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40630800"/>
        <c:crosses val="autoZero"/>
        <c:crossBetween val="between"/>
      </c:valAx>
      <c:spPr>
        <a:noFill/>
        <a:ln>
          <a:noFill/>
        </a:ln>
        <a:effectLst/>
      </c:spPr>
    </c:plotArea>
    <c:legend>
      <c:legendPos val="r"/>
      <c:layout>
        <c:manualLayout>
          <c:xMode val="edge"/>
          <c:yMode val="edge"/>
          <c:x val="0.77234860243243753"/>
          <c:y val="0.46100612423447068"/>
          <c:w val="0.22765145761142061"/>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Dashboard.xlsx]Supplier_&amp;_Manufacturing_Pivot!PivotTable21</c:name>
    <c:fmtId val="11"/>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US" b="1"/>
              <a:t>Defect rate of each supplier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'Supplier_&amp;_Manufacturing_Pivot'!$B$18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0EF-44C6-B644-3BCE59CBECA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0EF-44C6-B644-3BCE59CBECA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0EF-44C6-B644-3BCE59CBECA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0EF-44C6-B644-3BCE59CBECA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0EF-44C6-B644-3BCE59CBECA5}"/>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'Supplier_&amp;_Manufacturing_Pivot'!$A$19:$A$24</c:f>
              <c:strCache>
                <c:ptCount val="5"/>
                <c:pt idx="0">
                  <c:v>Supplier 1</c:v>
                </c:pt>
                <c:pt idx="1">
                  <c:v>Supplier 2</c:v>
                </c:pt>
                <c:pt idx="2">
                  <c:v>Supplier 3</c:v>
                </c:pt>
                <c:pt idx="3">
                  <c:v>Supplier 4</c:v>
                </c:pt>
                <c:pt idx="4">
                  <c:v>Supplier 5</c:v>
                </c:pt>
              </c:strCache>
            </c:strRef>
          </c:cat>
          <c:val>
            <c:numRef>
              <c:f>'Supplier_&amp;_Manufacturing_Pivot'!$B$19:$B$24</c:f>
              <c:numCache>
                <c:formatCode>General</c:formatCode>
                <c:ptCount val="5"/>
                <c:pt idx="0">
                  <c:v>1.8036297116882525</c:v>
                </c:pt>
                <c:pt idx="1">
                  <c:v>2.3627501450718813</c:v>
                </c:pt>
                <c:pt idx="2">
                  <c:v>2.4657860307644701</c:v>
                </c:pt>
                <c:pt idx="3">
                  <c:v>2.3373974005913398</c:v>
                </c:pt>
                <c:pt idx="4">
                  <c:v>2.6654083441492014</c:v>
                </c:pt>
              </c:numCache>
            </c:numRef>
          </c:val>
          <c:extLst>
            <c:ext xmlns:c16="http://schemas.microsoft.com/office/drawing/2014/chart" uri="{C3380CC4-5D6E-409C-BE32-E72D297353CC}">
              <c16:uniqueId val="{0000000A-B0EF-44C6-B644-3BCE59CBECA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Dashboard.xlsx]Supplier_&amp;_Manufacturing_Pivot!PivotTable1</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t>Each Supplier's Transportation Route and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'Supplier_&amp;_Manufacturing_Pivot'!$B$26:$B$27</c:f>
              <c:strCache>
                <c:ptCount val="1"/>
                <c:pt idx="0">
                  <c:v>Air</c:v>
                </c:pt>
              </c:strCache>
            </c:strRef>
          </c:tx>
          <c:spPr>
            <a:solidFill>
              <a:schemeClr val="accent1"/>
            </a:solidFill>
            <a:ln>
              <a:noFill/>
            </a:ln>
            <a:effectLst/>
          </c:spPr>
          <c:invertIfNegative val="0"/>
          <c:cat>
            <c:strRef>
              <c:f>'Supplier_&amp;_Manufacturing_Pivot'!$A$28:$A$33</c:f>
              <c:strCache>
                <c:ptCount val="5"/>
                <c:pt idx="0">
                  <c:v>Supplier 1</c:v>
                </c:pt>
                <c:pt idx="1">
                  <c:v>Supplier 2</c:v>
                </c:pt>
                <c:pt idx="2">
                  <c:v>Supplier 3</c:v>
                </c:pt>
                <c:pt idx="3">
                  <c:v>Supplier 4</c:v>
                </c:pt>
                <c:pt idx="4">
                  <c:v>Supplier 5</c:v>
                </c:pt>
              </c:strCache>
            </c:strRef>
          </c:cat>
          <c:val>
            <c:numRef>
              <c:f>'Supplier_&amp;_Manufacturing_Pivot'!$B$28:$B$33</c:f>
              <c:numCache>
                <c:formatCode>_ [$₹-4009]\ * #,##0.00_ ;_ [$₹-4009]\ * \-#,##0.00_ ;_ [$₹-4009]\ * "-"??_ ;_ @_ </c:formatCode>
                <c:ptCount val="5"/>
                <c:pt idx="0">
                  <c:v>8291.1406999999999</c:v>
                </c:pt>
                <c:pt idx="1">
                  <c:v>1942.9297999999999</c:v>
                </c:pt>
                <c:pt idx="2">
                  <c:v>351.50420000000003</c:v>
                </c:pt>
                <c:pt idx="3">
                  <c:v>1974.4177</c:v>
                </c:pt>
                <c:pt idx="4">
                  <c:v>2044.5349000000001</c:v>
                </c:pt>
              </c:numCache>
            </c:numRef>
          </c:val>
          <c:extLst>
            <c:ext xmlns:c16="http://schemas.microsoft.com/office/drawing/2014/chart" uri="{C3380CC4-5D6E-409C-BE32-E72D297353CC}">
              <c16:uniqueId val="{00000000-70B7-4C80-9902-F2705E69F7EA}"/>
            </c:ext>
          </c:extLst>
        </c:ser>
        <c:ser>
          <c:idx val="1"/>
          <c:order val="1"/>
          <c:tx>
            <c:strRef>
              <c:f>'Supplier_&amp;_Manufacturing_Pivot'!$C$26:$C$27</c:f>
              <c:strCache>
                <c:ptCount val="1"/>
                <c:pt idx="0">
                  <c:v>Rail</c:v>
                </c:pt>
              </c:strCache>
            </c:strRef>
          </c:tx>
          <c:spPr>
            <a:solidFill>
              <a:schemeClr val="accent2"/>
            </a:solidFill>
            <a:ln>
              <a:noFill/>
            </a:ln>
            <a:effectLst/>
          </c:spPr>
          <c:invertIfNegative val="0"/>
          <c:cat>
            <c:strRef>
              <c:f>'Supplier_&amp;_Manufacturing_Pivot'!$A$28:$A$33</c:f>
              <c:strCache>
                <c:ptCount val="5"/>
                <c:pt idx="0">
                  <c:v>Supplier 1</c:v>
                </c:pt>
                <c:pt idx="1">
                  <c:v>Supplier 2</c:v>
                </c:pt>
                <c:pt idx="2">
                  <c:v>Supplier 3</c:v>
                </c:pt>
                <c:pt idx="3">
                  <c:v>Supplier 4</c:v>
                </c:pt>
                <c:pt idx="4">
                  <c:v>Supplier 5</c:v>
                </c:pt>
              </c:strCache>
            </c:strRef>
          </c:cat>
          <c:val>
            <c:numRef>
              <c:f>'Supplier_&amp;_Manufacturing_Pivot'!$C$28:$C$33</c:f>
              <c:numCache>
                <c:formatCode>_ [$₹-4009]\ * #,##0.00_ ;_ [$₹-4009]\ * \-#,##0.00_ ;_ [$₹-4009]\ * "-"??_ ;_ @_ </c:formatCode>
                <c:ptCount val="5"/>
                <c:pt idx="0">
                  <c:v>2041.3018999999999</c:v>
                </c:pt>
                <c:pt idx="1">
                  <c:v>7051.2680999999993</c:v>
                </c:pt>
                <c:pt idx="2">
                  <c:v>1876.2359999999999</c:v>
                </c:pt>
                <c:pt idx="3">
                  <c:v>1974.0720999999999</c:v>
                </c:pt>
                <c:pt idx="4">
                  <c:v>2226.0537999999997</c:v>
                </c:pt>
              </c:numCache>
            </c:numRef>
          </c:val>
          <c:extLst>
            <c:ext xmlns:c16="http://schemas.microsoft.com/office/drawing/2014/chart" uri="{C3380CC4-5D6E-409C-BE32-E72D297353CC}">
              <c16:uniqueId val="{00000001-288F-465A-835F-D4606185D94B}"/>
            </c:ext>
          </c:extLst>
        </c:ser>
        <c:ser>
          <c:idx val="2"/>
          <c:order val="2"/>
          <c:tx>
            <c:strRef>
              <c:f>'Supplier_&amp;_Manufacturing_Pivot'!$D$26:$D$27</c:f>
              <c:strCache>
                <c:ptCount val="1"/>
                <c:pt idx="0">
                  <c:v>Road</c:v>
                </c:pt>
              </c:strCache>
            </c:strRef>
          </c:tx>
          <c:spPr>
            <a:solidFill>
              <a:schemeClr val="accent3"/>
            </a:solidFill>
            <a:ln>
              <a:noFill/>
            </a:ln>
            <a:effectLst/>
          </c:spPr>
          <c:invertIfNegative val="0"/>
          <c:cat>
            <c:strRef>
              <c:f>'Supplier_&amp;_Manufacturing_Pivot'!$A$28:$A$33</c:f>
              <c:strCache>
                <c:ptCount val="5"/>
                <c:pt idx="0">
                  <c:v>Supplier 1</c:v>
                </c:pt>
                <c:pt idx="1">
                  <c:v>Supplier 2</c:v>
                </c:pt>
                <c:pt idx="2">
                  <c:v>Supplier 3</c:v>
                </c:pt>
                <c:pt idx="3">
                  <c:v>Supplier 4</c:v>
                </c:pt>
                <c:pt idx="4">
                  <c:v>Supplier 5</c:v>
                </c:pt>
              </c:strCache>
            </c:strRef>
          </c:cat>
          <c:val>
            <c:numRef>
              <c:f>'Supplier_&amp;_Manufacturing_Pivot'!$D$28:$D$33</c:f>
              <c:numCache>
                <c:formatCode>_ [$₹-4009]\ * #,##0.00_ ;_ [$₹-4009]\ * \-#,##0.00_ ;_ [$₹-4009]\ * "-"??_ ;_ @_ </c:formatCode>
                <c:ptCount val="5"/>
                <c:pt idx="0">
                  <c:v>4337.9840999999997</c:v>
                </c:pt>
                <c:pt idx="1">
                  <c:v>995.14570000000003</c:v>
                </c:pt>
                <c:pt idx="2">
                  <c:v>2131.5338999999999</c:v>
                </c:pt>
                <c:pt idx="3">
                  <c:v>4663.0159999999996</c:v>
                </c:pt>
                <c:pt idx="4">
                  <c:v>3920.5137</c:v>
                </c:pt>
              </c:numCache>
            </c:numRef>
          </c:val>
          <c:extLst>
            <c:ext xmlns:c16="http://schemas.microsoft.com/office/drawing/2014/chart" uri="{C3380CC4-5D6E-409C-BE32-E72D297353CC}">
              <c16:uniqueId val="{00000002-288F-465A-835F-D4606185D94B}"/>
            </c:ext>
          </c:extLst>
        </c:ser>
        <c:ser>
          <c:idx val="3"/>
          <c:order val="3"/>
          <c:tx>
            <c:strRef>
              <c:f>'Supplier_&amp;_Manufacturing_Pivot'!$E$26:$E$27</c:f>
              <c:strCache>
                <c:ptCount val="1"/>
                <c:pt idx="0">
                  <c:v>Sea</c:v>
                </c:pt>
              </c:strCache>
            </c:strRef>
          </c:tx>
          <c:spPr>
            <a:solidFill>
              <a:schemeClr val="accent4"/>
            </a:solidFill>
            <a:ln>
              <a:noFill/>
            </a:ln>
            <a:effectLst/>
          </c:spPr>
          <c:invertIfNegative val="0"/>
          <c:cat>
            <c:strRef>
              <c:f>'Supplier_&amp;_Manufacturing_Pivot'!$A$28:$A$33</c:f>
              <c:strCache>
                <c:ptCount val="5"/>
                <c:pt idx="0">
                  <c:v>Supplier 1</c:v>
                </c:pt>
                <c:pt idx="1">
                  <c:v>Supplier 2</c:v>
                </c:pt>
                <c:pt idx="2">
                  <c:v>Supplier 3</c:v>
                </c:pt>
                <c:pt idx="3">
                  <c:v>Supplier 4</c:v>
                </c:pt>
                <c:pt idx="4">
                  <c:v>Supplier 5</c:v>
                </c:pt>
              </c:strCache>
            </c:strRef>
          </c:cat>
          <c:val>
            <c:numRef>
              <c:f>'Supplier_&amp;_Manufacturing_Pivot'!$E$28:$E$33</c:f>
              <c:numCache>
                <c:formatCode>_ [$₹-4009]\ * #,##0.00_ ;_ [$₹-4009]\ * \-#,##0.00_ ;_ [$₹-4009]\ * "-"??_ ;_ @_ </c:formatCode>
                <c:ptCount val="5"/>
                <c:pt idx="0">
                  <c:v>850.55409999999995</c:v>
                </c:pt>
                <c:pt idx="1">
                  <c:v>1341.2559000000001</c:v>
                </c:pt>
                <c:pt idx="2">
                  <c:v>2672.7273999999998</c:v>
                </c:pt>
                <c:pt idx="3">
                  <c:v>781.08150000000001</c:v>
                </c:pt>
                <c:pt idx="4">
                  <c:v>1457.3067000000001</c:v>
                </c:pt>
              </c:numCache>
            </c:numRef>
          </c:val>
          <c:extLst>
            <c:ext xmlns:c16="http://schemas.microsoft.com/office/drawing/2014/chart" uri="{C3380CC4-5D6E-409C-BE32-E72D297353CC}">
              <c16:uniqueId val="{00000003-288F-465A-835F-D4606185D94B}"/>
            </c:ext>
          </c:extLst>
        </c:ser>
        <c:dLbls>
          <c:showLegendKey val="0"/>
          <c:showVal val="0"/>
          <c:showCatName val="0"/>
          <c:showSerName val="0"/>
          <c:showPercent val="0"/>
          <c:showBubbleSize val="0"/>
        </c:dLbls>
        <c:gapWidth val="219"/>
        <c:overlap val="-27"/>
        <c:axId val="839117583"/>
        <c:axId val="839097903"/>
      </c:barChart>
      <c:catAx>
        <c:axId val="839117583"/>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Supplier</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39097903"/>
        <c:crosses val="autoZero"/>
        <c:auto val="1"/>
        <c:lblAlgn val="ctr"/>
        <c:lblOffset val="100"/>
        <c:noMultiLvlLbl val="0"/>
      </c:catAx>
      <c:valAx>
        <c:axId val="83909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Logistic 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3911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i="0" u="none" strike="noStrike" baseline="0">
                <a:solidFill>
                  <a:schemeClr val="tx1"/>
                </a:solidFill>
                <a:latin typeface="Times New Roman" panose="02020603050405020304" pitchFamily="18" charset="0"/>
                <a:cs typeface="Times New Roman" panose="02020603050405020304" pitchFamily="18" charset="0"/>
              </a:rPr>
              <a:t>On-Time Delivery %</a:t>
            </a:r>
            <a:endParaRPr lang="en-IN" sz="105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0556926802487799"/>
          <c:y val="0.596164079490063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7951687987425639"/>
          <c:y val="9.5013123359580051E-2"/>
          <c:w val="0.45262910904045306"/>
          <c:h val="0.90267176602924637"/>
        </c:manualLayout>
      </c:layout>
      <c:doughnutChart>
        <c:varyColors val="1"/>
        <c:ser>
          <c:idx val="0"/>
          <c:order val="0"/>
          <c:tx>
            <c:strRef>
              <c:f>Supply_Chain_Pivot!$B$6</c:f>
              <c:strCache>
                <c:ptCount val="1"/>
                <c:pt idx="0">
                  <c:v>value</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7B95-4D92-B3F9-625E63D4788B}"/>
              </c:ext>
            </c:extLst>
          </c:dPt>
          <c:dPt>
            <c:idx val="1"/>
            <c:bubble3D val="0"/>
            <c:spPr>
              <a:solidFill>
                <a:srgbClr val="DEDEDE"/>
              </a:solidFill>
              <a:ln w="19050">
                <a:solidFill>
                  <a:schemeClr val="lt1"/>
                </a:solidFill>
              </a:ln>
              <a:effectLst/>
            </c:spPr>
            <c:extLst>
              <c:ext xmlns:c16="http://schemas.microsoft.com/office/drawing/2014/chart" uri="{C3380CC4-5D6E-409C-BE32-E72D297353CC}">
                <c16:uniqueId val="{00000003-7B95-4D92-B3F9-625E63D4788B}"/>
              </c:ext>
            </c:extLst>
          </c:dPt>
          <c:dPt>
            <c:idx val="2"/>
            <c:bubble3D val="0"/>
            <c:spPr>
              <a:noFill/>
              <a:ln w="19050">
                <a:solidFill>
                  <a:schemeClr val="lt1"/>
                </a:solidFill>
              </a:ln>
              <a:effectLst/>
            </c:spPr>
            <c:extLst>
              <c:ext xmlns:c16="http://schemas.microsoft.com/office/drawing/2014/chart" uri="{C3380CC4-5D6E-409C-BE32-E72D297353CC}">
                <c16:uniqueId val="{00000005-7B95-4D92-B3F9-625E63D4788B}"/>
              </c:ext>
            </c:extLst>
          </c:dPt>
          <c:dLbls>
            <c:dLbl>
              <c:idx val="0"/>
              <c:tx>
                <c:rich>
                  <a:bodyPr/>
                  <a:lstStyle/>
                  <a:p>
                    <a:fld id="{469D581E-49C0-42B7-812D-8E9A32FBCF54}"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B95-4D92-B3F9-625E63D4788B}"/>
                </c:ext>
              </c:extLst>
            </c:dLbl>
            <c:dLbl>
              <c:idx val="1"/>
              <c:delete val="1"/>
              <c:extLst>
                <c:ext xmlns:c15="http://schemas.microsoft.com/office/drawing/2012/chart" uri="{CE6537A1-D6FC-4f65-9D91-7224C49458BB}"/>
                <c:ext xmlns:c16="http://schemas.microsoft.com/office/drawing/2014/chart" uri="{C3380CC4-5D6E-409C-BE32-E72D297353CC}">
                  <c16:uniqueId val="{00000003-7B95-4D92-B3F9-625E63D4788B}"/>
                </c:ext>
              </c:extLst>
            </c:dLbl>
            <c:dLbl>
              <c:idx val="2"/>
              <c:delete val="1"/>
              <c:extLst>
                <c:ext xmlns:c15="http://schemas.microsoft.com/office/drawing/2012/chart" uri="{CE6537A1-D6FC-4f65-9D91-7224C49458BB}"/>
                <c:ext xmlns:c16="http://schemas.microsoft.com/office/drawing/2014/chart" uri="{C3380CC4-5D6E-409C-BE32-E72D297353CC}">
                  <c16:uniqueId val="{00000005-7B95-4D92-B3F9-625E63D4788B}"/>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Supply_Chain_Pivot!$A$7:$A$9</c:f>
              <c:strCache>
                <c:ptCount val="3"/>
                <c:pt idx="0">
                  <c:v>Actual</c:v>
                </c:pt>
                <c:pt idx="1">
                  <c:v>Remaining</c:v>
                </c:pt>
                <c:pt idx="2">
                  <c:v>spacer</c:v>
                </c:pt>
              </c:strCache>
            </c:strRef>
          </c:cat>
          <c:val>
            <c:numRef>
              <c:f>Supply_Chain_Pivot!$B$7:$B$9</c:f>
              <c:numCache>
                <c:formatCode>0%</c:formatCode>
                <c:ptCount val="3"/>
                <c:pt idx="0">
                  <c:v>0.87</c:v>
                </c:pt>
                <c:pt idx="1">
                  <c:v>0.13</c:v>
                </c:pt>
                <c:pt idx="2" formatCode="General">
                  <c:v>1</c:v>
                </c:pt>
              </c:numCache>
            </c:numRef>
          </c:val>
          <c:extLst>
            <c:ext xmlns:c16="http://schemas.microsoft.com/office/drawing/2014/chart" uri="{C3380CC4-5D6E-409C-BE32-E72D297353CC}">
              <c16:uniqueId val="{00000006-7B95-4D92-B3F9-625E63D4788B}"/>
            </c:ext>
          </c:extLst>
        </c:ser>
        <c:dLbls>
          <c:showLegendKey val="0"/>
          <c:showVal val="1"/>
          <c:showCatName val="0"/>
          <c:showSerName val="0"/>
          <c:showPercent val="0"/>
          <c:showBubbleSize val="0"/>
          <c:showLeaderLines val="1"/>
        </c:dLbls>
        <c:firstSliceAng val="27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IN" sz="1050" b="1" i="0" u="none" strike="noStrike" baseline="0">
                <a:solidFill>
                  <a:schemeClr val="tx1"/>
                </a:solidFill>
                <a:latin typeface="Times New Roman" panose="02020603050405020304" pitchFamily="18" charset="0"/>
                <a:cs typeface="Times New Roman" panose="02020603050405020304" pitchFamily="18" charset="0"/>
              </a:rPr>
              <a:t>Sell-Through Rate %</a:t>
            </a:r>
            <a:endParaRPr lang="en-US" sz="105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8809891663623514"/>
          <c:y val="0.5917089260917473"/>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1731396039678422"/>
          <c:y val="0.14255308995466476"/>
          <c:w val="0.42860155374560988"/>
          <c:h val="0.84989739918873775"/>
        </c:manualLayout>
      </c:layout>
      <c:doughnutChart>
        <c:varyColors val="1"/>
        <c:ser>
          <c:idx val="0"/>
          <c:order val="0"/>
          <c:tx>
            <c:strRef>
              <c:f>Supply_Chain_Pivot!$B$11</c:f>
              <c:strCache>
                <c:ptCount val="1"/>
                <c:pt idx="0">
                  <c:v>value</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3CC6-4A8B-8AF2-7B630D7287E8}"/>
              </c:ext>
            </c:extLst>
          </c:dPt>
          <c:dPt>
            <c:idx val="1"/>
            <c:bubble3D val="0"/>
            <c:spPr>
              <a:solidFill>
                <a:srgbClr val="DCDCDC"/>
              </a:solidFill>
              <a:ln w="19050">
                <a:solidFill>
                  <a:schemeClr val="lt1"/>
                </a:solidFill>
              </a:ln>
              <a:effectLst/>
            </c:spPr>
            <c:extLst>
              <c:ext xmlns:c16="http://schemas.microsoft.com/office/drawing/2014/chart" uri="{C3380CC4-5D6E-409C-BE32-E72D297353CC}">
                <c16:uniqueId val="{00000003-3CC6-4A8B-8AF2-7B630D7287E8}"/>
              </c:ext>
            </c:extLst>
          </c:dPt>
          <c:dPt>
            <c:idx val="2"/>
            <c:bubble3D val="0"/>
            <c:spPr>
              <a:noFill/>
              <a:ln w="19050">
                <a:solidFill>
                  <a:schemeClr val="lt1"/>
                </a:solidFill>
              </a:ln>
              <a:effectLst/>
            </c:spPr>
            <c:extLst>
              <c:ext xmlns:c16="http://schemas.microsoft.com/office/drawing/2014/chart" uri="{C3380CC4-5D6E-409C-BE32-E72D297353CC}">
                <c16:uniqueId val="{00000005-3CC6-4A8B-8AF2-7B630D7287E8}"/>
              </c:ext>
            </c:extLst>
          </c:dPt>
          <c:dLbls>
            <c:dLbl>
              <c:idx val="0"/>
              <c:layout>
                <c:manualLayout>
                  <c:x val="1.9444444444444445E-2"/>
                  <c:y val="-9.2592592592592587E-3"/>
                </c:manualLayout>
              </c:layout>
              <c:tx>
                <c:rich>
                  <a:bodyPr/>
                  <a:lstStyle/>
                  <a:p>
                    <a:fld id="{22C8031A-4619-4BF2-B574-A65912E59FCD}" type="VALUE">
                      <a:rPr lang="en-US" b="1">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CC6-4A8B-8AF2-7B630D7287E8}"/>
                </c:ext>
              </c:extLst>
            </c:dLbl>
            <c:dLbl>
              <c:idx val="1"/>
              <c:delete val="1"/>
              <c:extLst>
                <c:ext xmlns:c15="http://schemas.microsoft.com/office/drawing/2012/chart" uri="{CE6537A1-D6FC-4f65-9D91-7224C49458BB}"/>
                <c:ext xmlns:c16="http://schemas.microsoft.com/office/drawing/2014/chart" uri="{C3380CC4-5D6E-409C-BE32-E72D297353CC}">
                  <c16:uniqueId val="{00000003-3CC6-4A8B-8AF2-7B630D7287E8}"/>
                </c:ext>
              </c:extLst>
            </c:dLbl>
            <c:dLbl>
              <c:idx val="2"/>
              <c:delete val="1"/>
              <c:extLst>
                <c:ext xmlns:c15="http://schemas.microsoft.com/office/drawing/2012/chart" uri="{CE6537A1-D6FC-4f65-9D91-7224C49458BB}"/>
                <c:ext xmlns:c16="http://schemas.microsoft.com/office/drawing/2014/chart" uri="{C3380CC4-5D6E-409C-BE32-E72D297353CC}">
                  <c16:uniqueId val="{00000005-3CC6-4A8B-8AF2-7B630D7287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Supply_Chain_Pivot!$A$12:$A$14</c:f>
              <c:strCache>
                <c:ptCount val="3"/>
                <c:pt idx="0">
                  <c:v>Actual</c:v>
                </c:pt>
                <c:pt idx="1">
                  <c:v>Remaining</c:v>
                </c:pt>
                <c:pt idx="2">
                  <c:v>spacer</c:v>
                </c:pt>
              </c:strCache>
            </c:strRef>
          </c:cat>
          <c:val>
            <c:numRef>
              <c:f>Supply_Chain_Pivot!$B$12:$B$14</c:f>
              <c:numCache>
                <c:formatCode>0.00%</c:formatCode>
                <c:ptCount val="3"/>
                <c:pt idx="0">
                  <c:v>0.69339530406269267</c:v>
                </c:pt>
                <c:pt idx="1">
                  <c:v>0.30660469593730733</c:v>
                </c:pt>
                <c:pt idx="2" formatCode="General">
                  <c:v>1</c:v>
                </c:pt>
              </c:numCache>
            </c:numRef>
          </c:val>
          <c:extLst>
            <c:ext xmlns:c16="http://schemas.microsoft.com/office/drawing/2014/chart" uri="{C3380CC4-5D6E-409C-BE32-E72D297353CC}">
              <c16:uniqueId val="{00000006-3CC6-4A8B-8AF2-7B630D7287E8}"/>
            </c:ext>
          </c:extLst>
        </c:ser>
        <c:dLbls>
          <c:showLegendKey val="0"/>
          <c:showVal val="1"/>
          <c:showCatName val="0"/>
          <c:showSerName val="0"/>
          <c:showPercent val="0"/>
          <c:showBubbleSize val="0"/>
          <c:showLeaderLines val="1"/>
        </c:dLbls>
        <c:firstSliceAng val="27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chemeClr val="tx1"/>
                </a:solidFill>
                <a:latin typeface="Times New Roman" panose="02020603050405020304" pitchFamily="18" charset="0"/>
                <a:cs typeface="Times New Roman" panose="02020603050405020304" pitchFamily="18" charset="0"/>
              </a:rPr>
              <a:t>SKU-wise Profit Distribution</a:t>
            </a:r>
            <a:endParaRPr lang="en-US" sz="1400" b="1" i="0" u="none" strike="noStrike" baseline="0">
              <a:solidFill>
                <a:schemeClr val="tx1"/>
              </a:solidFill>
              <a:latin typeface="Times New Roman" panose="02020603050405020304" pitchFamily="18" charset="0"/>
              <a:cs typeface="Times New Roman" panose="02020603050405020304" pitchFamily="18" charset="0"/>
            </a:endParaRPr>
          </a:p>
        </cx:rich>
      </cx:tx>
    </cx:title>
    <cx:plotArea>
      <cx:plotAreaRegion>
        <cx:series layoutId="treemap" uniqueId="{AAA22C59-EA82-441F-8B31-5858A0BFACEF}">
          <cx:tx>
            <cx:txData>
              <cx:f>_xlchart.v1.1</cx:f>
              <cx:v>Sum of Profit</cx:v>
            </cx:txData>
          </cx:tx>
          <cx:dataLabels>
            <cx:txPr>
              <a:bodyPr spcFirstLastPara="1" vertOverflow="ellipsis" horzOverflow="overflow" wrap="square" lIns="0" tIns="0" rIns="0" bIns="0" anchor="ctr" anchorCtr="1"/>
              <a:lstStyle/>
              <a:p>
                <a:pPr algn="ctr" rtl="0">
                  <a:defRPr b="0">
                    <a:solidFill>
                      <a:schemeClr val="tx1"/>
                    </a:solidFill>
                  </a:defRPr>
                </a:pPr>
                <a:endParaRPr lang="en-US" sz="900" b="0" i="0" u="none" strike="noStrike" baseline="0">
                  <a:solidFill>
                    <a:schemeClr val="tx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_xlchart.v2.12</cx:f>
      </cx:strDim>
      <cx:numDim type="val">
        <cx:f dir="row">_xlchart.v2.13</cx:f>
      </cx:numDim>
    </cx:data>
  </cx:chartData>
  <cx:chart>
    <cx:title pos="t" align="ctr" overlay="0">
      <cx:tx>
        <cx:rich>
          <a:bodyPr spcFirstLastPara="1" vertOverflow="ellipsis" horzOverflow="overflow" wrap="square" lIns="0" tIns="0" rIns="0" bIns="0" anchor="ctr" anchorCtr="1"/>
          <a:lstStyle/>
          <a:p>
            <a:pPr algn="ctr" rtl="0">
              <a:defRPr/>
            </a:pPr>
            <a:r>
              <a:rPr lang="en-IN">
                <a:solidFill>
                  <a:sysClr val="windowText" lastClr="000000"/>
                </a:solidFill>
                <a:latin typeface="Times New Roman" panose="02020603050405020304" pitchFamily="18" charset="0"/>
                <a:cs typeface="Times New Roman" panose="02020603050405020304" pitchFamily="18" charset="0"/>
              </a:rPr>
              <a:t>Peak Time Values Across Supply Chain Stages</a:t>
            </a:r>
            <a:endParaRPr lang="en-US" sz="1600" b="1" i="0" u="none" strike="noStrike" baseline="0">
              <a:solidFill>
                <a:sysClr val="windowText" lastClr="000000"/>
              </a:solidFill>
              <a:latin typeface="Times New Roman" panose="02020603050405020304" pitchFamily="18" charset="0"/>
              <a:cs typeface="Times New Roman" panose="02020603050405020304" pitchFamily="18" charset="0"/>
            </a:endParaRPr>
          </a:p>
        </cx:rich>
      </cx:tx>
    </cx:title>
    <cx:plotArea>
      <cx:plotAreaRegion>
        <cx:series layoutId="funnel" uniqueId="{123C067A-3C35-4961-AEE3-E5699D43DC3C}">
          <cx:data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_xlchart.v2.3</cx:f>
      </cx:strDim>
      <cx:numDim type="val">
        <cx:f dir="row">_xlchart.v2.4</cx:f>
      </cx:numDim>
    </cx:data>
  </cx:chartData>
  <cx:chart>
    <cx:title pos="t" align="ctr" overlay="0">
      <cx:tx>
        <cx:rich>
          <a:bodyPr spcFirstLastPara="1" vertOverflow="ellipsis" horzOverflow="overflow" wrap="square" lIns="0" tIns="0" rIns="0" bIns="0" anchor="ctr" anchorCtr="1"/>
          <a:lstStyle/>
          <a:p>
            <a:pPr algn="ctr" rtl="0">
              <a:defRPr>
                <a:solidFill>
                  <a:schemeClr val="tx1"/>
                </a:solidFill>
              </a:defRPr>
            </a:pPr>
            <a:r>
              <a:rPr lang="en-IN" sz="1600" b="1" i="0" u="none" strike="noStrike" baseline="0">
                <a:solidFill>
                  <a:schemeClr val="tx1"/>
                </a:solidFill>
                <a:latin typeface="Calibri" panose="020F0502020204030204"/>
                <a:ea typeface="Calibri" panose="020F0502020204030204" pitchFamily="34" charset="0"/>
                <a:cs typeface="Calibri" panose="020F0502020204030204" pitchFamily="34" charset="0"/>
              </a:rPr>
              <a:t>Maximum Cost Breakdown</a:t>
            </a:r>
            <a:endParaRPr lang="en-US" sz="1600" b="1" i="0" u="none" strike="noStrike" baseline="0">
              <a:solidFill>
                <a:schemeClr val="tx1"/>
              </a:solidFill>
              <a:latin typeface="Calibri" panose="020F0502020204030204"/>
            </a:endParaRPr>
          </a:p>
        </cx:rich>
      </cx:tx>
    </cx:title>
    <cx:plotArea>
      <cx:plotAreaRegion>
        <cx:series layoutId="funnel" uniqueId="{287B89ED-8F6A-444F-9C2D-B88FE6497950}">
          <cx:dataLabels>
            <cx:txPr>
              <a:bodyPr spcFirstLastPara="1" vertOverflow="ellipsis" horzOverflow="overflow" wrap="square" lIns="0" tIns="0" rIns="0" bIns="0" anchor="ctr" anchorCtr="1"/>
              <a:lstStyle/>
              <a:p>
                <a:pPr algn="ctr" rtl="0">
                  <a:defRPr sz="1200"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b="1"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0" value="1"/>
            <cx:separator>, </cx:separator>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 dir="row">_xlchart.v1.14</cx:f>
      </cx:strDim>
      <cx:numDim type="val">
        <cx:f dir="row">_xlchart.v1.15</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ysClr val="windowText" lastClr="000000"/>
                </a:solidFill>
              </a:rPr>
              <a:t>Inventory Position Movement</a:t>
            </a:r>
            <a:endParaRPr lang="en-US" sz="1400" b="1" i="0" u="none" strike="noStrike" baseline="0">
              <a:solidFill>
                <a:sysClr val="windowText" lastClr="000000"/>
              </a:solidFill>
              <a:latin typeface="Calibri" panose="020F0502020204030204"/>
            </a:endParaRPr>
          </a:p>
        </cx:rich>
      </cx:tx>
    </cx:title>
    <cx:plotArea>
      <cx:plotAreaRegion>
        <cx:series layoutId="waterfall" uniqueId="{E89C9A1A-334D-42C1-876D-D5234AFDDD9A}">
          <cx:dataLabels pos="outEnd">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legend pos="r" align="ctr"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legend>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data id="1">
      <cx:strDim type="cat">
        <cx:f>_xlchart.v1.5</cx:f>
      </cx:strDim>
      <cx:numDim type="val">
        <cx:f>_xlchart.v1.9</cx:f>
      </cx:numDim>
    </cx:data>
    <cx:data id="2">
      <cx:strDim type="cat">
        <cx:f>_xlchart.v1.5</cx:f>
      </cx:strDim>
      <cx:numDim type="val">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ysClr val="windowText" lastClr="000000"/>
                </a:solidFill>
              </a:rPr>
              <a:t>Inventory Deficit – 80/20 Analysis</a:t>
            </a:r>
            <a:endParaRPr lang="en-US" sz="1400" b="1" i="0" u="none" strike="noStrike" baseline="0">
              <a:solidFill>
                <a:sysClr val="windowText" lastClr="000000"/>
              </a:solidFill>
              <a:latin typeface="Calibri" panose="020F0502020204030204"/>
            </a:endParaRPr>
          </a:p>
        </cx:rich>
      </cx:tx>
    </cx:title>
    <cx:plotArea>
      <cx:plotAreaRegion>
        <cx:series layoutId="clusteredColumn" uniqueId="{9702345C-AF76-42A5-97EF-44C22C138A77}" formatIdx="0">
          <cx:tx>
            <cx:txData>
              <cx:f>_xlchart.v1.6</cx:f>
              <cx:v>Inventory Deficit</cx:v>
            </cx:txData>
          </cx:tx>
          <cx:dataId val="0"/>
          <cx:layoutPr>
            <cx:aggregation/>
          </cx:layoutPr>
          <cx:axisId val="1"/>
        </cx:series>
        <cx:series layoutId="paretoLine" ownerIdx="0" uniqueId="{CE6ACD5C-8B85-4695-854E-AF9BE6AB69F1}" formatIdx="1">
          <cx:axisId val="2"/>
        </cx:series>
        <cx:series layoutId="clusteredColumn" hidden="1" uniqueId="{9A360D37-FE75-4C4B-B45D-0527DFCA716D}" formatIdx="2">
          <cx:tx>
            <cx:txData>
              <cx:f>_xlchart.v1.8</cx:f>
              <cx:v>Cumulative Deficit</cx:v>
            </cx:txData>
          </cx:tx>
          <cx:dataId val="1"/>
          <cx:layoutPr>
            <cx:aggregation/>
          </cx:layoutPr>
          <cx:axisId val="1"/>
        </cx:series>
        <cx:series layoutId="paretoLine" ownerIdx="2" uniqueId="{872C2CA3-90D0-4FA9-810F-AE63FA3FE6A2}" formatIdx="3">
          <cx:axisId val="2"/>
        </cx:series>
        <cx:series layoutId="clusteredColumn" hidden="1" uniqueId="{AC327C0D-4E54-4943-911A-CDA7FD58E03A}" formatIdx="4">
          <cx:tx>
            <cx:txData>
              <cx:f>_xlchart.v1.10</cx:f>
              <cx:v>Cumulative %</cx:v>
            </cx:txData>
          </cx:tx>
          <cx:dataId val="2"/>
          <cx:layoutPr>
            <cx:aggregation/>
          </cx:layoutPr>
          <cx:axisId val="1"/>
        </cx:series>
        <cx:series layoutId="paretoLine" ownerIdx="4" uniqueId="{E988D097-8A6F-4D9D-BDCF-0E0C6935F264}" formatIdx="5">
          <cx:axisId val="2"/>
        </cx:series>
      </cx:plotAreaRegion>
      <cx:axis id="0">
        <cx:catScaling gapWidth="0"/>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axis id="2">
        <cx:valScaling max="1" min="0"/>
        <cx:units unit="percentage"/>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_xlchart.v1.18</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chemeClr val="tx1"/>
                </a:solidFill>
                <a:latin typeface="Times New Roman" panose="02020603050405020304" pitchFamily="18" charset="0"/>
                <a:cs typeface="Times New Roman" panose="02020603050405020304" pitchFamily="18" charset="0"/>
              </a:rPr>
              <a:t>SKU-wise Profit Distribution</a:t>
            </a:r>
            <a:endParaRPr lang="en-US" sz="1400" b="1" i="0" u="none" strike="noStrike" baseline="0">
              <a:solidFill>
                <a:schemeClr val="tx1"/>
              </a:solidFill>
              <a:latin typeface="Times New Roman" panose="02020603050405020304" pitchFamily="18" charset="0"/>
              <a:cs typeface="Times New Roman" panose="02020603050405020304" pitchFamily="18" charset="0"/>
            </a:endParaRPr>
          </a:p>
        </cx:rich>
      </cx:tx>
    </cx:title>
    <cx:plotArea>
      <cx:plotAreaRegion>
        <cx:series layoutId="treemap" uniqueId="{AAA22C59-EA82-441F-8B31-5858A0BFACEF}">
          <cx:tx>
            <cx:txData>
              <cx:f>_xlchart.v1.17</cx:f>
              <cx:v>Sum of Profit</cx:v>
            </cx:txData>
          </cx:tx>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 dir="row">_xlchart.v2.26</cx:f>
      </cx:strDim>
      <cx:numDim type="val">
        <cx:f dir="row">_xlchart.v2.27</cx:f>
      </cx:numDim>
    </cx:data>
  </cx:chartData>
  <cx:chart>
    <cx:title pos="t" align="ctr" overlay="0">
      <cx:tx>
        <cx:rich>
          <a:bodyPr spcFirstLastPara="1" vertOverflow="ellipsis" horzOverflow="overflow" wrap="square" lIns="0" tIns="0" rIns="0" bIns="0" anchor="ctr" anchorCtr="1"/>
          <a:lstStyle/>
          <a:p>
            <a:pPr algn="ctr" rtl="0">
              <a:defRPr/>
            </a:pPr>
            <a:r>
              <a:rPr lang="en-IN">
                <a:solidFill>
                  <a:sysClr val="windowText" lastClr="000000"/>
                </a:solidFill>
                <a:latin typeface="Times New Roman" panose="02020603050405020304" pitchFamily="18" charset="0"/>
                <a:cs typeface="Times New Roman" panose="02020603050405020304" pitchFamily="18" charset="0"/>
              </a:rPr>
              <a:t>Peak Time Across Supply Chain Stages</a:t>
            </a:r>
            <a:endParaRPr lang="en-US" sz="1600" b="1" i="0" u="none" strike="noStrike" baseline="0">
              <a:solidFill>
                <a:sysClr val="windowText" lastClr="000000"/>
              </a:solidFill>
              <a:latin typeface="Times New Roman" panose="02020603050405020304" pitchFamily="18" charset="0"/>
              <a:cs typeface="Times New Roman" panose="02020603050405020304" pitchFamily="18" charset="0"/>
            </a:endParaRPr>
          </a:p>
        </cx:rich>
      </cx:tx>
    </cx:title>
    <cx:plotArea>
      <cx:plotAreaRegion>
        <cx:series layoutId="funnel" uniqueId="{123C067A-3C35-4961-AEE3-E5699D43DC3C}">
          <cx:data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 dir="row">_xlchart.v2.30</cx:f>
      </cx:strDim>
      <cx:numDim type="val">
        <cx:f dir="row">_xlchart.v2.31</cx:f>
      </cx:numDim>
    </cx:data>
  </cx:chartData>
  <cx:chart>
    <cx:title pos="t" align="ctr" overlay="0">
      <cx:tx>
        <cx:rich>
          <a:bodyPr spcFirstLastPara="1" vertOverflow="ellipsis" horzOverflow="overflow" wrap="square" lIns="0" tIns="0" rIns="0" bIns="0" anchor="ctr" anchorCtr="1"/>
          <a:lstStyle/>
          <a:p>
            <a:pPr algn="ctr" rtl="0">
              <a:defRPr>
                <a:solidFill>
                  <a:schemeClr val="tx1"/>
                </a:solidFill>
              </a:defRPr>
            </a:pPr>
            <a:r>
              <a:rPr lang="en-IN" sz="1600" b="1" i="0" u="none" strike="noStrike" baseline="0">
                <a:solidFill>
                  <a:schemeClr val="tx1"/>
                </a:solidFill>
                <a:latin typeface="Calibri" panose="020F0502020204030204"/>
                <a:ea typeface="Calibri" panose="020F0502020204030204" pitchFamily="34" charset="0"/>
                <a:cs typeface="Calibri" panose="020F0502020204030204" pitchFamily="34" charset="0"/>
              </a:rPr>
              <a:t>Maximum Cost Breakdown</a:t>
            </a:r>
            <a:endParaRPr lang="en-US" sz="1600" b="1" i="0" u="none" strike="noStrike" baseline="0">
              <a:solidFill>
                <a:schemeClr val="tx1"/>
              </a:solidFill>
              <a:latin typeface="Calibri" panose="020F0502020204030204"/>
            </a:endParaRPr>
          </a:p>
        </cx:rich>
      </cx:tx>
    </cx:title>
    <cx:plotArea>
      <cx:plotAreaRegion>
        <cx:series layoutId="funnel" uniqueId="{287B89ED-8F6A-444F-9C2D-B88FE6497950}">
          <cx:dataLabels>
            <cx:txPr>
              <a:bodyPr spcFirstLastPara="1" vertOverflow="ellipsis" horzOverflow="overflow" wrap="square" lIns="0" tIns="0" rIns="0" bIns="0" anchor="ctr" anchorCtr="1"/>
              <a:lstStyle/>
              <a:p>
                <a:pPr algn="ctr" rtl="0">
                  <a:defRPr sz="1200"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b="1"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0" value="1"/>
            <cx:separator>, </cx:separator>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 dir="row">_xlchart.v1.28</cx:f>
      </cx:strDim>
      <cx:numDim type="val">
        <cx:f dir="row">_xlchart.v1.29</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ysClr val="windowText" lastClr="000000"/>
                </a:solidFill>
              </a:rPr>
              <a:t>Inventory Position Movement</a:t>
            </a:r>
            <a:endParaRPr lang="en-US" sz="1400" b="1" i="0" u="none" strike="noStrike" baseline="0">
              <a:solidFill>
                <a:sysClr val="windowText" lastClr="000000"/>
              </a:solidFill>
              <a:latin typeface="Calibri" panose="020F0502020204030204"/>
            </a:endParaRPr>
          </a:p>
        </cx:rich>
      </cx:tx>
    </cx:title>
    <cx:plotArea>
      <cx:plotAreaRegion>
        <cx:series layoutId="waterfall" uniqueId="{E89C9A1A-334D-42C1-876D-D5234AFDDD9A}">
          <cx:dataLabels pos="outEnd">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legend pos="b" align="ctr"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legend>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_xlchart.v1.19</cx:f>
      </cx:strDim>
      <cx:numDim type="val">
        <cx:f>_xlchart.v1.21</cx:f>
      </cx:numDim>
    </cx:data>
    <cx:data id="1">
      <cx:strDim type="cat">
        <cx:f>_xlchart.v1.19</cx:f>
      </cx:strDim>
      <cx:numDim type="val">
        <cx:f>_xlchart.v1.23</cx:f>
      </cx:numDim>
    </cx:data>
    <cx:data id="2">
      <cx:strDim type="cat">
        <cx:f>_xlchart.v1.19</cx:f>
      </cx:strDim>
      <cx:numDim type="val">
        <cx:f>_xlchart.v1.25</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ysClr val="windowText" lastClr="000000"/>
                </a:solidFill>
              </a:rPr>
              <a:t>Inventory Deficit – 80/20 Analysis</a:t>
            </a:r>
            <a:endParaRPr lang="en-US" sz="1400" b="1" i="0" u="none" strike="noStrike" baseline="0">
              <a:solidFill>
                <a:sysClr val="windowText" lastClr="000000"/>
              </a:solidFill>
              <a:latin typeface="Calibri" panose="020F0502020204030204"/>
            </a:endParaRPr>
          </a:p>
        </cx:rich>
      </cx:tx>
    </cx:title>
    <cx:plotArea>
      <cx:plotAreaRegion>
        <cx:series layoutId="clusteredColumn" uniqueId="{9702345C-AF76-42A5-97EF-44C22C138A77}" formatIdx="0">
          <cx:tx>
            <cx:txData>
              <cx:f>_xlchart.v1.20</cx:f>
              <cx:v>Inventory Deficit</cx:v>
            </cx:txData>
          </cx:tx>
          <cx:dataId val="0"/>
          <cx:layoutPr>
            <cx:aggregation/>
          </cx:layoutPr>
          <cx:axisId val="1"/>
        </cx:series>
        <cx:series layoutId="paretoLine" ownerIdx="0" uniqueId="{CE6ACD5C-8B85-4695-854E-AF9BE6AB69F1}" formatIdx="1">
          <cx:axisId val="2"/>
        </cx:series>
        <cx:series layoutId="clusteredColumn" hidden="1" uniqueId="{9A360D37-FE75-4C4B-B45D-0527DFCA716D}" formatIdx="2">
          <cx:tx>
            <cx:txData>
              <cx:f>_xlchart.v1.22</cx:f>
              <cx:v>Cumulative Deficit</cx:v>
            </cx:txData>
          </cx:tx>
          <cx:dataId val="1"/>
          <cx:layoutPr>
            <cx:aggregation/>
          </cx:layoutPr>
          <cx:axisId val="1"/>
        </cx:series>
        <cx:series layoutId="paretoLine" ownerIdx="2" uniqueId="{872C2CA3-90D0-4FA9-810F-AE63FA3FE6A2}" formatIdx="3">
          <cx:axisId val="2"/>
        </cx:series>
        <cx:series layoutId="clusteredColumn" hidden="1" uniqueId="{AC327C0D-4E54-4943-911A-CDA7FD58E03A}" formatIdx="4">
          <cx:tx>
            <cx:txData>
              <cx:f>_xlchart.v1.24</cx:f>
              <cx:v>Cumulative %</cx:v>
            </cx:txData>
          </cx:tx>
          <cx:dataId val="2"/>
          <cx:layoutPr>
            <cx:aggregation/>
          </cx:layoutPr>
          <cx:axisId val="1"/>
        </cx:series>
        <cx:series layoutId="paretoLine" ownerIdx="4" uniqueId="{E988D097-8A6F-4D9D-BDCF-0E0C6935F264}" formatIdx="5">
          <cx:axisId val="2"/>
        </cx:series>
      </cx:plotAreaRegion>
      <cx:axis id="0">
        <cx:catScaling gapWidth="0"/>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5">
  <a:schemeClr val="accent2"/>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 id="17">
  <a:schemeClr val="accent4"/>
</cs:colorStyle>
</file>

<file path=xl/charts/colors3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31.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3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2.xml"/><Relationship Id="rId1" Type="http://schemas.openxmlformats.org/officeDocument/2006/relationships/chart" Target="../charts/chart11.xml"/><Relationship Id="rId6" Type="http://schemas.microsoft.com/office/2014/relationships/chartEx" Target="../charts/chartEx5.xml"/><Relationship Id="rId5" Type="http://schemas.microsoft.com/office/2014/relationships/chartEx" Target="../charts/chartEx4.xml"/><Relationship Id="rId4" Type="http://schemas.microsoft.com/office/2014/relationships/chartEx" Target="../charts/chartEx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1.png"/><Relationship Id="rId5" Type="http://schemas.microsoft.com/office/2014/relationships/chartEx" Target="../charts/chartEx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image" Target="../media/image1.png"/><Relationship Id="rId5" Type="http://schemas.openxmlformats.org/officeDocument/2006/relationships/chart" Target="../charts/chart18.xml"/><Relationship Id="rId4" Type="http://schemas.openxmlformats.org/officeDocument/2006/relationships/image" Target="../media/image2.emf"/></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image" Target="../media/image1.png"/><Relationship Id="rId5" Type="http://schemas.openxmlformats.org/officeDocument/2006/relationships/chart" Target="../charts/chart22.xml"/><Relationship Id="rId4"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7" Type="http://schemas.microsoft.com/office/2014/relationships/chartEx" Target="../charts/chartEx10.xml"/><Relationship Id="rId2" Type="http://schemas.openxmlformats.org/officeDocument/2006/relationships/chart" Target="../charts/chart23.xml"/><Relationship Id="rId1" Type="http://schemas.openxmlformats.org/officeDocument/2006/relationships/image" Target="../media/image1.png"/><Relationship Id="rId6" Type="http://schemas.microsoft.com/office/2014/relationships/chartEx" Target="../charts/chartEx9.xml"/><Relationship Id="rId5" Type="http://schemas.microsoft.com/office/2014/relationships/chartEx" Target="../charts/chartEx8.xml"/><Relationship Id="rId4" Type="http://schemas.microsoft.com/office/2014/relationships/chartEx" Target="../charts/chartEx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9</xdr:col>
      <xdr:colOff>381001</xdr:colOff>
      <xdr:row>0</xdr:row>
      <xdr:rowOff>19050</xdr:rowOff>
    </xdr:from>
    <xdr:to>
      <xdr:col>15</xdr:col>
      <xdr:colOff>296333</xdr:colOff>
      <xdr:row>15</xdr:row>
      <xdr:rowOff>95250</xdr:rowOff>
    </xdr:to>
    <xdr:graphicFrame macro="">
      <xdr:nvGraphicFramePr>
        <xdr:cNvPr id="9" name="Chart 8">
          <a:extLst>
            <a:ext uri="{FF2B5EF4-FFF2-40B4-BE49-F238E27FC236}">
              <a16:creationId xmlns:a16="http://schemas.microsoft.com/office/drawing/2014/main" id="{81C8B1B4-605D-1E75-13D8-ED307DF5B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361951</xdr:colOff>
      <xdr:row>16</xdr:row>
      <xdr:rowOff>42862</xdr:rowOff>
    </xdr:from>
    <xdr:to>
      <xdr:col>16</xdr:col>
      <xdr:colOff>698500</xdr:colOff>
      <xdr:row>34</xdr:row>
      <xdr:rowOff>76200</xdr:rowOff>
    </xdr:to>
    <xdr:graphicFrame macro="">
      <xdr:nvGraphicFramePr>
        <xdr:cNvPr id="10" name="Chart 9">
          <a:extLst>
            <a:ext uri="{FF2B5EF4-FFF2-40B4-BE49-F238E27FC236}">
              <a16:creationId xmlns:a16="http://schemas.microsoft.com/office/drawing/2014/main" id="{EBA25A7A-7C61-696C-B40C-5801B923E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223309</xdr:colOff>
      <xdr:row>13</xdr:row>
      <xdr:rowOff>169862</xdr:rowOff>
    </xdr:from>
    <xdr:to>
      <xdr:col>9</xdr:col>
      <xdr:colOff>251884</xdr:colOff>
      <xdr:row>29</xdr:row>
      <xdr:rowOff>55562</xdr:rowOff>
    </xdr:to>
    <xdr:graphicFrame macro="">
      <xdr:nvGraphicFramePr>
        <xdr:cNvPr id="11" name="Chart 10">
          <a:extLst>
            <a:ext uri="{FF2B5EF4-FFF2-40B4-BE49-F238E27FC236}">
              <a16:creationId xmlns:a16="http://schemas.microsoft.com/office/drawing/2014/main" id="{52ABC0A1-EF1C-B9FD-510D-88D5922D5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66675</xdr:colOff>
      <xdr:row>0</xdr:row>
      <xdr:rowOff>66676</xdr:rowOff>
    </xdr:from>
    <xdr:to>
      <xdr:col>6</xdr:col>
      <xdr:colOff>294216</xdr:colOff>
      <xdr:row>4</xdr:row>
      <xdr:rowOff>104776</xdr:rowOff>
    </xdr:to>
    <mc:AlternateContent xmlns:mc="http://schemas.openxmlformats.org/markup-compatibility/2006" xmlns:a14="http://schemas.microsoft.com/office/drawing/2010/main">
      <mc:Choice Requires="a14">
        <xdr:graphicFrame macro="">
          <xdr:nvGraphicFramePr>
            <xdr:cNvPr id="6" name="Product type">
              <a:extLst>
                <a:ext uri="{FF2B5EF4-FFF2-40B4-BE49-F238E27FC236}">
                  <a16:creationId xmlns:a16="http://schemas.microsoft.com/office/drawing/2014/main" id="{F27F827E-AE47-7CBF-DDBC-44270034E680}"/>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2943225" y="66676"/>
              <a:ext cx="2628900"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19051</xdr:colOff>
      <xdr:row>0</xdr:row>
      <xdr:rowOff>37043</xdr:rowOff>
    </xdr:from>
    <xdr:to>
      <xdr:col>9</xdr:col>
      <xdr:colOff>346075</xdr:colOff>
      <xdr:row>7</xdr:row>
      <xdr:rowOff>160868</xdr:rowOff>
    </xdr:to>
    <mc:AlternateContent xmlns:mc="http://schemas.openxmlformats.org/markup-compatibility/2006" xmlns:a14="http://schemas.microsoft.com/office/drawing/2010/main">
      <mc:Choice Requires="a14">
        <xdr:graphicFrame macro="">
          <xdr:nvGraphicFramePr>
            <xdr:cNvPr id="7" name="Customer demographics">
              <a:extLst>
                <a:ext uri="{FF2B5EF4-FFF2-40B4-BE49-F238E27FC236}">
                  <a16:creationId xmlns:a16="http://schemas.microsoft.com/office/drawing/2014/main" id="{041373BD-A157-4DF0-3E2F-8BDFB16858F1}"/>
                </a:ext>
              </a:extLst>
            </xdr:cNvPr>
            <xdr:cNvGraphicFramePr/>
          </xdr:nvGraphicFramePr>
          <xdr:xfrm>
            <a:off x="0" y="0"/>
            <a:ext cx="0" cy="0"/>
          </xdr:xfrm>
          <a:graphic>
            <a:graphicData uri="http://schemas.microsoft.com/office/drawing/2010/slicer">
              <sle:slicer xmlns:sle="http://schemas.microsoft.com/office/drawing/2010/slicer" name="Customer demographics"/>
            </a:graphicData>
          </a:graphic>
        </xdr:graphicFrame>
      </mc:Choice>
      <mc:Fallback xmlns="">
        <xdr:sp macro="" textlink="">
          <xdr:nvSpPr>
            <xdr:cNvPr id="0" name=""/>
            <xdr:cNvSpPr>
              <a:spLocks noTextEdit="1"/>
            </xdr:cNvSpPr>
          </xdr:nvSpPr>
          <xdr:spPr>
            <a:xfrm>
              <a:off x="6538384" y="37043"/>
              <a:ext cx="1829858"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116418</xdr:colOff>
      <xdr:row>8</xdr:row>
      <xdr:rowOff>16933</xdr:rowOff>
    </xdr:from>
    <xdr:to>
      <xdr:col>7</xdr:col>
      <xdr:colOff>560918</xdr:colOff>
      <xdr:row>13</xdr:row>
      <xdr:rowOff>45508</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762C4EC4-5DCE-6BEF-FFB4-BF7B6FA1F3A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381501" y="1540933"/>
              <a:ext cx="269875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571501</xdr:colOff>
      <xdr:row>34</xdr:row>
      <xdr:rowOff>184150</xdr:rowOff>
    </xdr:from>
    <xdr:to>
      <xdr:col>11</xdr:col>
      <xdr:colOff>635001</xdr:colOff>
      <xdr:row>49</xdr:row>
      <xdr:rowOff>69850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6DFA498-2A21-8343-B812-47C478A68C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581651" y="6661150"/>
              <a:ext cx="457835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191294</xdr:colOff>
      <xdr:row>0</xdr:row>
      <xdr:rowOff>50402</xdr:rowOff>
    </xdr:from>
    <xdr:to>
      <xdr:col>16</xdr:col>
      <xdr:colOff>205978</xdr:colOff>
      <xdr:row>14</xdr:row>
      <xdr:rowOff>126602</xdr:rowOff>
    </xdr:to>
    <xdr:graphicFrame macro="">
      <xdr:nvGraphicFramePr>
        <xdr:cNvPr id="8" name="Chart 7">
          <a:extLst>
            <a:ext uri="{FF2B5EF4-FFF2-40B4-BE49-F238E27FC236}">
              <a16:creationId xmlns:a16="http://schemas.microsoft.com/office/drawing/2014/main" id="{D2665A4F-D966-A7C3-B6E4-90C1ABD98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193301</xdr:colOff>
      <xdr:row>28</xdr:row>
      <xdr:rowOff>167309</xdr:rowOff>
    </xdr:from>
    <xdr:to>
      <xdr:col>23</xdr:col>
      <xdr:colOff>377473</xdr:colOff>
      <xdr:row>44</xdr:row>
      <xdr:rowOff>115320</xdr:rowOff>
    </xdr:to>
    <xdr:graphicFrame macro="">
      <xdr:nvGraphicFramePr>
        <xdr:cNvPr id="7" name="Chart 6">
          <a:extLst>
            <a:ext uri="{FF2B5EF4-FFF2-40B4-BE49-F238E27FC236}">
              <a16:creationId xmlns:a16="http://schemas.microsoft.com/office/drawing/2014/main" id="{AAD05681-BEA6-5327-BE76-AF06D233D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91678</xdr:colOff>
      <xdr:row>15</xdr:row>
      <xdr:rowOff>97632</xdr:rowOff>
    </xdr:from>
    <xdr:to>
      <xdr:col>11</xdr:col>
      <xdr:colOff>76853</xdr:colOff>
      <xdr:row>28</xdr:row>
      <xdr:rowOff>145257</xdr:rowOff>
    </xdr:to>
    <mc:AlternateContent xmlns:mc="http://schemas.openxmlformats.org/markup-compatibility/2006" xmlns:a14="http://schemas.microsoft.com/office/drawing/2010/main">
      <mc:Choice Requires="a14">
        <xdr:graphicFrame macro="">
          <xdr:nvGraphicFramePr>
            <xdr:cNvPr id="6" name="Product type 2">
              <a:extLst>
                <a:ext uri="{FF2B5EF4-FFF2-40B4-BE49-F238E27FC236}">
                  <a16:creationId xmlns:a16="http://schemas.microsoft.com/office/drawing/2014/main" id="{F1752025-EC66-B4AC-5851-992325DEC4A0}"/>
                </a:ext>
              </a:extLst>
            </xdr:cNvPr>
            <xdr:cNvGraphicFramePr/>
          </xdr:nvGraphicFramePr>
          <xdr:xfrm>
            <a:off x="0" y="0"/>
            <a:ext cx="0" cy="0"/>
          </xdr:xfrm>
          <a:graphic>
            <a:graphicData uri="http://schemas.microsoft.com/office/drawing/2010/slicer">
              <sle:slicer xmlns:sle="http://schemas.microsoft.com/office/drawing/2010/slicer" name="Product type 2"/>
            </a:graphicData>
          </a:graphic>
        </xdr:graphicFrame>
      </mc:Choice>
      <mc:Fallback xmlns="">
        <xdr:sp macro="" textlink="">
          <xdr:nvSpPr>
            <xdr:cNvPr id="0" name=""/>
            <xdr:cNvSpPr>
              <a:spLocks noTextEdit="1"/>
            </xdr:cNvSpPr>
          </xdr:nvSpPr>
          <xdr:spPr>
            <a:xfrm>
              <a:off x="10985897" y="2925366"/>
              <a:ext cx="1830644" cy="2498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669130</xdr:colOff>
      <xdr:row>15</xdr:row>
      <xdr:rowOff>71834</xdr:rowOff>
    </xdr:from>
    <xdr:to>
      <xdr:col>12</xdr:col>
      <xdr:colOff>1029137</xdr:colOff>
      <xdr:row>28</xdr:row>
      <xdr:rowOff>119459</xdr:rowOff>
    </xdr:to>
    <mc:AlternateContent xmlns:mc="http://schemas.openxmlformats.org/markup-compatibility/2006" xmlns:a14="http://schemas.microsoft.com/office/drawing/2010/main">
      <mc:Choice Requires="a14">
        <xdr:graphicFrame macro="">
          <xdr:nvGraphicFramePr>
            <xdr:cNvPr id="9" name="Shipping carriers">
              <a:extLst>
                <a:ext uri="{FF2B5EF4-FFF2-40B4-BE49-F238E27FC236}">
                  <a16:creationId xmlns:a16="http://schemas.microsoft.com/office/drawing/2014/main" id="{5CE02AE0-3365-B791-9448-53204D6C9BC7}"/>
                </a:ext>
              </a:extLst>
            </xdr:cNvPr>
            <xdr:cNvGraphicFramePr/>
          </xdr:nvGraphicFramePr>
          <xdr:xfrm>
            <a:off x="0" y="0"/>
            <a:ext cx="0" cy="0"/>
          </xdr:xfrm>
          <a:graphic>
            <a:graphicData uri="http://schemas.microsoft.com/office/drawing/2010/slicer">
              <sle:slicer xmlns:sle="http://schemas.microsoft.com/office/drawing/2010/slicer" name="Shipping carriers"/>
            </a:graphicData>
          </a:graphic>
        </xdr:graphicFrame>
      </mc:Choice>
      <mc:Fallback xmlns="">
        <xdr:sp macro="" textlink="">
          <xdr:nvSpPr>
            <xdr:cNvPr id="0" name=""/>
            <xdr:cNvSpPr>
              <a:spLocks noTextEdit="1"/>
            </xdr:cNvSpPr>
          </xdr:nvSpPr>
          <xdr:spPr>
            <a:xfrm>
              <a:off x="12793661" y="2899568"/>
              <a:ext cx="1848288" cy="2498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277812</xdr:colOff>
      <xdr:row>15</xdr:row>
      <xdr:rowOff>85727</xdr:rowOff>
    </xdr:from>
    <xdr:to>
      <xdr:col>15</xdr:col>
      <xdr:colOff>600246</xdr:colOff>
      <xdr:row>28</xdr:row>
      <xdr:rowOff>133352</xdr:rowOff>
    </xdr:to>
    <mc:AlternateContent xmlns:mc="http://schemas.openxmlformats.org/markup-compatibility/2006" xmlns:a14="http://schemas.microsoft.com/office/drawing/2010/main">
      <mc:Choice Requires="a14">
        <xdr:graphicFrame macro="">
          <xdr:nvGraphicFramePr>
            <xdr:cNvPr id="10" name="Routes">
              <a:extLst>
                <a:ext uri="{FF2B5EF4-FFF2-40B4-BE49-F238E27FC236}">
                  <a16:creationId xmlns:a16="http://schemas.microsoft.com/office/drawing/2014/main" id="{80614FE1-EFF6-489E-545E-42FD82F7945B}"/>
                </a:ext>
              </a:extLst>
            </xdr:cNvPr>
            <xdr:cNvGraphicFramePr/>
          </xdr:nvGraphicFramePr>
          <xdr:xfrm>
            <a:off x="0" y="0"/>
            <a:ext cx="0" cy="0"/>
          </xdr:xfrm>
          <a:graphic>
            <a:graphicData uri="http://schemas.microsoft.com/office/drawing/2010/slicer">
              <sle:slicer xmlns:sle="http://schemas.microsoft.com/office/drawing/2010/slicer" name="Routes"/>
            </a:graphicData>
          </a:graphic>
        </xdr:graphicFrame>
      </mc:Choice>
      <mc:Fallback xmlns="">
        <xdr:sp macro="" textlink="">
          <xdr:nvSpPr>
            <xdr:cNvPr id="0" name=""/>
            <xdr:cNvSpPr>
              <a:spLocks noTextEdit="1"/>
            </xdr:cNvSpPr>
          </xdr:nvSpPr>
          <xdr:spPr>
            <a:xfrm>
              <a:off x="14684375" y="2913461"/>
              <a:ext cx="1840481" cy="2498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348257</xdr:colOff>
      <xdr:row>0</xdr:row>
      <xdr:rowOff>62111</xdr:rowOff>
    </xdr:from>
    <xdr:to>
      <xdr:col>18</xdr:col>
      <xdr:colOff>1607344</xdr:colOff>
      <xdr:row>14</xdr:row>
      <xdr:rowOff>166092</xdr:rowOff>
    </xdr:to>
    <xdr:graphicFrame macro="">
      <xdr:nvGraphicFramePr>
        <xdr:cNvPr id="5" name="Chart 4">
          <a:extLst>
            <a:ext uri="{FF2B5EF4-FFF2-40B4-BE49-F238E27FC236}">
              <a16:creationId xmlns:a16="http://schemas.microsoft.com/office/drawing/2014/main" id="{80EC99CF-5FCD-ED1D-FEC2-8D9024936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95250</xdr:colOff>
      <xdr:row>0</xdr:row>
      <xdr:rowOff>52387</xdr:rowOff>
    </xdr:from>
    <xdr:to>
      <xdr:col>8</xdr:col>
      <xdr:colOff>733425</xdr:colOff>
      <xdr:row>14</xdr:row>
      <xdr:rowOff>128587</xdr:rowOff>
    </xdr:to>
    <xdr:graphicFrame macro="">
      <xdr:nvGraphicFramePr>
        <xdr:cNvPr id="2" name="Chart 1">
          <a:extLst>
            <a:ext uri="{FF2B5EF4-FFF2-40B4-BE49-F238E27FC236}">
              <a16:creationId xmlns:a16="http://schemas.microsoft.com/office/drawing/2014/main" id="{2A827E45-7C8D-4EAC-A9F3-C488988B8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876299</xdr:colOff>
      <xdr:row>0</xdr:row>
      <xdr:rowOff>61912</xdr:rowOff>
    </xdr:from>
    <xdr:to>
      <xdr:col>15</xdr:col>
      <xdr:colOff>95249</xdr:colOff>
      <xdr:row>14</xdr:row>
      <xdr:rowOff>138112</xdr:rowOff>
    </xdr:to>
    <xdr:graphicFrame macro="">
      <xdr:nvGraphicFramePr>
        <xdr:cNvPr id="4" name="Chart 3">
          <a:extLst>
            <a:ext uri="{FF2B5EF4-FFF2-40B4-BE49-F238E27FC236}">
              <a16:creationId xmlns:a16="http://schemas.microsoft.com/office/drawing/2014/main" id="{B2E0899D-A44B-9229-5F77-CD8E2AF19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209550</xdr:colOff>
      <xdr:row>15</xdr:row>
      <xdr:rowOff>52387</xdr:rowOff>
    </xdr:from>
    <xdr:to>
      <xdr:col>8</xdr:col>
      <xdr:colOff>733425</xdr:colOff>
      <xdr:row>29</xdr:row>
      <xdr:rowOff>128587</xdr:rowOff>
    </xdr:to>
    <xdr:graphicFrame macro="">
      <xdr:nvGraphicFramePr>
        <xdr:cNvPr id="5" name="Chart 4">
          <a:extLst>
            <a:ext uri="{FF2B5EF4-FFF2-40B4-BE49-F238E27FC236}">
              <a16:creationId xmlns:a16="http://schemas.microsoft.com/office/drawing/2014/main" id="{F0AB145A-1C81-CD63-516F-A29BD13E7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942975</xdr:colOff>
      <xdr:row>15</xdr:row>
      <xdr:rowOff>80962</xdr:rowOff>
    </xdr:from>
    <xdr:to>
      <xdr:col>14</xdr:col>
      <xdr:colOff>419100</xdr:colOff>
      <xdr:row>29</xdr:row>
      <xdr:rowOff>157162</xdr:rowOff>
    </xdr:to>
    <xdr:graphicFrame macro="">
      <xdr:nvGraphicFramePr>
        <xdr:cNvPr id="3" name="Chart 2">
          <a:extLst>
            <a:ext uri="{FF2B5EF4-FFF2-40B4-BE49-F238E27FC236}">
              <a16:creationId xmlns:a16="http://schemas.microsoft.com/office/drawing/2014/main" id="{67BE7F6B-428C-A504-F8DD-8EDA6FD80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190500</xdr:colOff>
      <xdr:row>30</xdr:row>
      <xdr:rowOff>104775</xdr:rowOff>
    </xdr:from>
    <xdr:to>
      <xdr:col>7</xdr:col>
      <xdr:colOff>9525</xdr:colOff>
      <xdr:row>43</xdr:row>
      <xdr:rowOff>152400</xdr:rowOff>
    </xdr:to>
    <mc:AlternateContent xmlns:mc="http://schemas.openxmlformats.org/markup-compatibility/2006" xmlns:a14="http://schemas.microsoft.com/office/drawing/2010/main">
      <mc:Choice Requires="a14">
        <xdr:graphicFrame macro="">
          <xdr:nvGraphicFramePr>
            <xdr:cNvPr id="9" name="Supplier name">
              <a:extLst>
                <a:ext uri="{FF2B5EF4-FFF2-40B4-BE49-F238E27FC236}">
                  <a16:creationId xmlns:a16="http://schemas.microsoft.com/office/drawing/2014/main" id="{64F84B39-4CB4-B325-913B-443B138E62D8}"/>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5019675" y="5819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1095375</xdr:colOff>
      <xdr:row>30</xdr:row>
      <xdr:rowOff>95250</xdr:rowOff>
    </xdr:from>
    <xdr:to>
      <xdr:col>10</xdr:col>
      <xdr:colOff>390525</xdr:colOff>
      <xdr:row>43</xdr:row>
      <xdr:rowOff>142875</xdr:rowOff>
    </xdr:to>
    <mc:AlternateContent xmlns:mc="http://schemas.openxmlformats.org/markup-compatibility/2006" xmlns:a14="http://schemas.microsoft.com/office/drawing/2010/main">
      <mc:Choice Requires="a14">
        <xdr:graphicFrame macro="">
          <xdr:nvGraphicFramePr>
            <xdr:cNvPr id="10" name="Inspection results">
              <a:extLst>
                <a:ext uri="{FF2B5EF4-FFF2-40B4-BE49-F238E27FC236}">
                  <a16:creationId xmlns:a16="http://schemas.microsoft.com/office/drawing/2014/main" id="{C9629384-9E55-0294-7D27-8999C73DF963}"/>
                </a:ext>
              </a:extLst>
            </xdr:cNvPr>
            <xdr:cNvGraphicFramePr/>
          </xdr:nvGraphicFramePr>
          <xdr:xfrm>
            <a:off x="0" y="0"/>
            <a:ext cx="0" cy="0"/>
          </xdr:xfrm>
          <a:graphic>
            <a:graphicData uri="http://schemas.microsoft.com/office/drawing/2010/slicer">
              <sle:slicer xmlns:sle="http://schemas.microsoft.com/office/drawing/2010/slicer" name="Inspection results"/>
            </a:graphicData>
          </a:graphic>
        </xdr:graphicFrame>
      </mc:Choice>
      <mc:Fallback xmlns="">
        <xdr:sp macro="" textlink="">
          <xdr:nvSpPr>
            <xdr:cNvPr id="0" name=""/>
            <xdr:cNvSpPr>
              <a:spLocks noTextEdit="1"/>
            </xdr:cNvSpPr>
          </xdr:nvSpPr>
          <xdr:spPr>
            <a:xfrm>
              <a:off x="9172575" y="5810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257175</xdr:colOff>
      <xdr:row>30</xdr:row>
      <xdr:rowOff>104775</xdr:rowOff>
    </xdr:from>
    <xdr:to>
      <xdr:col>8</xdr:col>
      <xdr:colOff>847725</xdr:colOff>
      <xdr:row>43</xdr:row>
      <xdr:rowOff>152400</xdr:rowOff>
    </xdr:to>
    <mc:AlternateContent xmlns:mc="http://schemas.openxmlformats.org/markup-compatibility/2006" xmlns:a14="http://schemas.microsoft.com/office/drawing/2010/main">
      <mc:Choice Requires="a14">
        <xdr:graphicFrame macro="">
          <xdr:nvGraphicFramePr>
            <xdr:cNvPr id="11" name="Transportation modes">
              <a:extLst>
                <a:ext uri="{FF2B5EF4-FFF2-40B4-BE49-F238E27FC236}">
                  <a16:creationId xmlns:a16="http://schemas.microsoft.com/office/drawing/2014/main" id="{2B06227F-9A8E-680F-51C5-8FF2BD6EB1AE}"/>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7096125" y="5819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0</xdr:row>
      <xdr:rowOff>71437</xdr:rowOff>
    </xdr:from>
    <xdr:to>
      <xdr:col>6</xdr:col>
      <xdr:colOff>76200</xdr:colOff>
      <xdr:row>14</xdr:row>
      <xdr:rowOff>147637</xdr:rowOff>
    </xdr:to>
    <xdr:graphicFrame macro="">
      <xdr:nvGraphicFramePr>
        <xdr:cNvPr id="4" name="Chart 3">
          <a:extLst>
            <a:ext uri="{FF2B5EF4-FFF2-40B4-BE49-F238E27FC236}">
              <a16:creationId xmlns:a16="http://schemas.microsoft.com/office/drawing/2014/main" id="{4CCA4DE2-CC55-CA78-1CDF-0A51F7D90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228600</xdr:colOff>
      <xdr:row>0</xdr:row>
      <xdr:rowOff>71437</xdr:rowOff>
    </xdr:from>
    <xdr:to>
      <xdr:col>13</xdr:col>
      <xdr:colOff>533400</xdr:colOff>
      <xdr:row>14</xdr:row>
      <xdr:rowOff>147637</xdr:rowOff>
    </xdr:to>
    <xdr:graphicFrame macro="">
      <xdr:nvGraphicFramePr>
        <xdr:cNvPr id="6" name="Chart 5">
          <a:extLst>
            <a:ext uri="{FF2B5EF4-FFF2-40B4-BE49-F238E27FC236}">
              <a16:creationId xmlns:a16="http://schemas.microsoft.com/office/drawing/2014/main" id="{F49C8DC3-8EB5-2F01-0B40-CF94C62F6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57150</xdr:colOff>
      <xdr:row>0</xdr:row>
      <xdr:rowOff>71437</xdr:rowOff>
    </xdr:from>
    <xdr:to>
      <xdr:col>21</xdr:col>
      <xdr:colOff>361950</xdr:colOff>
      <xdr:row>15</xdr:row>
      <xdr:rowOff>147637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3E3F9DF-1BFB-FF09-EE70-577B6887FA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335875" y="71437"/>
              <a:ext cx="4572000" cy="2933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361950</xdr:colOff>
      <xdr:row>15</xdr:row>
      <xdr:rowOff>23812</xdr:rowOff>
    </xdr:from>
    <xdr:to>
      <xdr:col>9</xdr:col>
      <xdr:colOff>85725</xdr:colOff>
      <xdr:row>27</xdr:row>
      <xdr:rowOff>57150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D3857385-82DB-7CED-1DCF-FC22F1DD85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524375" y="2881312"/>
              <a:ext cx="8086725" cy="25098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133349</xdr:colOff>
      <xdr:row>27</xdr:row>
      <xdr:rowOff>166687</xdr:rowOff>
    </xdr:from>
    <xdr:to>
      <xdr:col>9</xdr:col>
      <xdr:colOff>1466849</xdr:colOff>
      <xdr:row>42</xdr:row>
      <xdr:rowOff>52387</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F564501F-7417-04EE-C073-0DF7E27052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496299" y="5500687"/>
              <a:ext cx="549592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104775</xdr:colOff>
      <xdr:row>47</xdr:row>
      <xdr:rowOff>100012</xdr:rowOff>
    </xdr:from>
    <xdr:to>
      <xdr:col>10</xdr:col>
      <xdr:colOff>390525</xdr:colOff>
      <xdr:row>61</xdr:row>
      <xdr:rowOff>176212</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B87FF629-5663-2881-44AC-9053A8C0EC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448925" y="92440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0</xdr:col>
      <xdr:colOff>299481</xdr:colOff>
      <xdr:row>3</xdr:row>
      <xdr:rowOff>150070</xdr:rowOff>
    </xdr:from>
    <xdr:ext cx="3207096" cy="505203"/>
    <xdr:sp macro="" textlink="">
      <xdr:nvSpPr>
        <xdr:cNvPr id="5" name="TextBox 4">
          <a:extLst>
            <a:ext uri="{FF2B5EF4-FFF2-40B4-BE49-F238E27FC236}">
              <a16:creationId xmlns:a16="http://schemas.microsoft.com/office/drawing/2014/main" id="{428AD46A-7749-2512-A256-DC67B03065A7}"/>
            </a:ext>
          </a:extLst>
        </xdr:cNvPr>
        <xdr:cNvSpPr txBox="1"/>
      </xdr:nvSpPr>
      <xdr:spPr>
        <a:xfrm>
          <a:off x="299481" y="721570"/>
          <a:ext cx="3207096"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scene3d>
            <a:camera prst="orthographicFront"/>
            <a:lightRig rig="harsh" dir="t"/>
          </a:scene3d>
          <a:sp3d extrusionH="57150" prstMaterial="matte">
            <a:bevelT w="63500" h="12700" prst="angle"/>
            <a:contourClr>
              <a:schemeClr val="bg1">
                <a:lumMod val="65000"/>
              </a:schemeClr>
            </a:contourClr>
          </a:sp3d>
        </a:bodyPr>
        <a:lstStyle/>
        <a:p>
          <a:r>
            <a:rPr lang="en-IN" sz="2800" b="1" cap="none" spc="0">
              <a:ln/>
              <a:solidFill>
                <a:schemeClr val="accent6">
                  <a:lumMod val="75000"/>
                </a:schemeClr>
              </a:solidFill>
              <a:effectLst/>
              <a:latin typeface="Times New Roman" panose="02020603050405020304" pitchFamily="18" charset="0"/>
              <a:cs typeface="Times New Roman" panose="02020603050405020304" pitchFamily="18" charset="0"/>
            </a:rPr>
            <a:t>Product Dashboard</a:t>
          </a:r>
        </a:p>
      </xdr:txBody>
    </xdr:sp>
    <xdr:clientData/>
  </xdr:oneCellAnchor>
  <xdr:twoCellAnchor>
    <xdr:from>
      <xdr:col>5</xdr:col>
      <xdr:colOff>585484</xdr:colOff>
      <xdr:row>0</xdr:row>
      <xdr:rowOff>143484</xdr:rowOff>
    </xdr:from>
    <xdr:to>
      <xdr:col>25</xdr:col>
      <xdr:colOff>263458</xdr:colOff>
      <xdr:row>6</xdr:row>
      <xdr:rowOff>141862</xdr:rowOff>
    </xdr:to>
    <xdr:sp macro="" textlink="">
      <xdr:nvSpPr>
        <xdr:cNvPr id="6" name="Rectangle: Diagonal Corners Rounded 5">
          <a:extLst>
            <a:ext uri="{FF2B5EF4-FFF2-40B4-BE49-F238E27FC236}">
              <a16:creationId xmlns:a16="http://schemas.microsoft.com/office/drawing/2014/main" id="{B2151D3C-00D1-42A5-3554-A69CE19A8BCB}"/>
            </a:ext>
          </a:extLst>
        </xdr:cNvPr>
        <xdr:cNvSpPr/>
      </xdr:nvSpPr>
      <xdr:spPr>
        <a:xfrm>
          <a:off x="3625378" y="143484"/>
          <a:ext cx="11837548" cy="1153538"/>
        </a:xfrm>
        <a:prstGeom prst="round2DiagRect">
          <a:avLst/>
        </a:prstGeom>
        <a:solidFill>
          <a:schemeClr val="accent4">
            <a:lumMod val="40000"/>
            <a:lumOff val="60000"/>
          </a:schemeClr>
        </a:solidFill>
        <a:ln w="28575"/>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solidFill>
              <a:srgbClr val="FFFF00"/>
            </a:solidFill>
          </a:endParaRPr>
        </a:p>
      </xdr:txBody>
    </xdr:sp>
    <xdr:clientData/>
  </xdr:twoCellAnchor>
  <xdr:twoCellAnchor>
    <xdr:from>
      <xdr:col>0</xdr:col>
      <xdr:colOff>283723</xdr:colOff>
      <xdr:row>6</xdr:row>
      <xdr:rowOff>70930</xdr:rowOff>
    </xdr:from>
    <xdr:to>
      <xdr:col>5</xdr:col>
      <xdr:colOff>354654</xdr:colOff>
      <xdr:row>36</xdr:row>
      <xdr:rowOff>158750</xdr:rowOff>
    </xdr:to>
    <xdr:sp macro="" textlink="">
      <xdr:nvSpPr>
        <xdr:cNvPr id="11" name="Rectangle: Top Corners One Rounded and One Snipped 10">
          <a:extLst>
            <a:ext uri="{FF2B5EF4-FFF2-40B4-BE49-F238E27FC236}">
              <a16:creationId xmlns:a16="http://schemas.microsoft.com/office/drawing/2014/main" id="{07D7F2D1-EE2E-38D0-9A30-B0AD387B1DE1}"/>
            </a:ext>
          </a:extLst>
        </xdr:cNvPr>
        <xdr:cNvSpPr/>
      </xdr:nvSpPr>
      <xdr:spPr>
        <a:xfrm>
          <a:off x="283723" y="1213930"/>
          <a:ext cx="3140098" cy="5802820"/>
        </a:xfrm>
        <a:prstGeom prst="snipRoundRect">
          <a:avLst/>
        </a:prstGeom>
        <a:solidFill>
          <a:schemeClr val="accent4">
            <a:lumMod val="40000"/>
            <a:lumOff val="60000"/>
          </a:schemeClr>
        </a:solidFill>
        <a:ln w="28575">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5">
                  <a:lumMod val="75000"/>
                </a:schemeClr>
              </a:solidFill>
            </a:rPr>
            <a:t>     </a:t>
          </a:r>
        </a:p>
      </xdr:txBody>
    </xdr:sp>
    <xdr:clientData/>
  </xdr:twoCellAnchor>
  <xdr:twoCellAnchor editAs="oneCell">
    <xdr:from>
      <xdr:col>1</xdr:col>
      <xdr:colOff>261684</xdr:colOff>
      <xdr:row>0</xdr:row>
      <xdr:rowOff>115010</xdr:rowOff>
    </xdr:from>
    <xdr:to>
      <xdr:col>4</xdr:col>
      <xdr:colOff>383280</xdr:colOff>
      <xdr:row>3</xdr:row>
      <xdr:rowOff>155071</xdr:rowOff>
    </xdr:to>
    <xdr:pic>
      <xdr:nvPicPr>
        <xdr:cNvPr id="2" name="Picture 1">
          <a:extLst>
            <a:ext uri="{FF2B5EF4-FFF2-40B4-BE49-F238E27FC236}">
              <a16:creationId xmlns:a16="http://schemas.microsoft.com/office/drawing/2014/main" id="{575FE264-38DD-4F02-8EFC-D6DC4808CE9D}"/>
            </a:ext>
          </a:extLst>
        </xdr:cNvPr>
        <xdr:cNvPicPr>
          <a:picLocks noChangeAspect="1"/>
        </xdr:cNvPicPr>
      </xdr:nvPicPr>
      <xdr:blipFill>
        <a:blip xmlns:r="http://schemas.openxmlformats.org/officeDocument/2006/relationships" r:embed="rId1"/>
        <a:stretch>
          <a:fillRect/>
        </a:stretch>
      </xdr:blipFill>
      <xdr:spPr>
        <a:xfrm>
          <a:off x="868903" y="115010"/>
          <a:ext cx="1943252" cy="611561"/>
        </a:xfrm>
        <a:prstGeom prst="rect">
          <a:avLst/>
        </a:prstGeom>
      </xdr:spPr>
    </xdr:pic>
    <xdr:clientData/>
  </xdr:twoCellAnchor>
  <xdr:twoCellAnchor>
    <xdr:from>
      <xdr:col>16</xdr:col>
      <xdr:colOff>433916</xdr:colOff>
      <xdr:row>7</xdr:row>
      <xdr:rowOff>137583</xdr:rowOff>
    </xdr:from>
    <xdr:to>
      <xdr:col>25</xdr:col>
      <xdr:colOff>176740</xdr:colOff>
      <xdr:row>22</xdr:row>
      <xdr:rowOff>23283</xdr:rowOff>
    </xdr:to>
    <xdr:graphicFrame macro="">
      <xdr:nvGraphicFramePr>
        <xdr:cNvPr id="4" name="Chart 3">
          <a:extLst>
            <a:ext uri="{FF2B5EF4-FFF2-40B4-BE49-F238E27FC236}">
              <a16:creationId xmlns:a16="http://schemas.microsoft.com/office/drawing/2014/main" id="{E4495AA3-F554-475A-88B6-F48D013D4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582084</xdr:colOff>
      <xdr:row>7</xdr:row>
      <xdr:rowOff>95249</xdr:rowOff>
    </xdr:from>
    <xdr:to>
      <xdr:col>14</xdr:col>
      <xdr:colOff>343958</xdr:colOff>
      <xdr:row>25</xdr:row>
      <xdr:rowOff>128587</xdr:rowOff>
    </xdr:to>
    <xdr:graphicFrame macro="">
      <xdr:nvGraphicFramePr>
        <xdr:cNvPr id="7" name="Chart 6">
          <a:extLst>
            <a:ext uri="{FF2B5EF4-FFF2-40B4-BE49-F238E27FC236}">
              <a16:creationId xmlns:a16="http://schemas.microsoft.com/office/drawing/2014/main" id="{2DC4392F-922A-4867-9FCE-0CBEDACB6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582838</xdr:colOff>
      <xdr:row>26</xdr:row>
      <xdr:rowOff>90715</xdr:rowOff>
    </xdr:from>
    <xdr:to>
      <xdr:col>14</xdr:col>
      <xdr:colOff>343956</xdr:colOff>
      <xdr:row>36</xdr:row>
      <xdr:rowOff>170089</xdr:rowOff>
    </xdr:to>
    <xdr:graphicFrame macro="">
      <xdr:nvGraphicFramePr>
        <xdr:cNvPr id="8" name="Chart 7">
          <a:extLst>
            <a:ext uri="{FF2B5EF4-FFF2-40B4-BE49-F238E27FC236}">
              <a16:creationId xmlns:a16="http://schemas.microsoft.com/office/drawing/2014/main" id="{E1CB5088-874D-445A-A1EC-41AA50545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559591</xdr:colOff>
      <xdr:row>1</xdr:row>
      <xdr:rowOff>166687</xdr:rowOff>
    </xdr:from>
    <xdr:to>
      <xdr:col>10</xdr:col>
      <xdr:colOff>107155</xdr:colOff>
      <xdr:row>5</xdr:row>
      <xdr:rowOff>119062</xdr:rowOff>
    </xdr:to>
    <xdr:sp macro="" textlink="">
      <xdr:nvSpPr>
        <xdr:cNvPr id="17" name="TextBox 16">
          <a:extLst>
            <a:ext uri="{FF2B5EF4-FFF2-40B4-BE49-F238E27FC236}">
              <a16:creationId xmlns:a16="http://schemas.microsoft.com/office/drawing/2014/main" id="{A9577B78-467F-7D5A-10F0-48A8D9A596A3}"/>
            </a:ext>
          </a:extLst>
        </xdr:cNvPr>
        <xdr:cNvSpPr txBox="1"/>
      </xdr:nvSpPr>
      <xdr:spPr>
        <a:xfrm>
          <a:off x="4202904" y="357187"/>
          <a:ext cx="1976439" cy="714375"/>
        </a:xfrm>
        <a:prstGeom prst="rect">
          <a:avLst/>
        </a:prstGeom>
        <a:solidFill>
          <a:schemeClr val="accent5">
            <a:lumMod val="40000"/>
            <a:lumOff val="60000"/>
          </a:schemeClr>
        </a:solid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Times New Roman" panose="02020603050405020304" pitchFamily="18" charset="0"/>
              <a:ea typeface="+mn-ea"/>
              <a:cs typeface="Times New Roman" panose="02020603050405020304" pitchFamily="18" charset="0"/>
            </a:rPr>
            <a:t>Overall Revenue  </a:t>
          </a:r>
        </a:p>
        <a:p>
          <a:pPr algn="ctr"/>
          <a:r>
            <a:rPr lang="en-IN" sz="1800" b="1" i="0" u="none" strike="noStrike">
              <a:solidFill>
                <a:schemeClr val="dk1"/>
              </a:solidFill>
              <a:effectLst/>
              <a:latin typeface="Times New Roman" panose="02020603050405020304" pitchFamily="18" charset="0"/>
              <a:ea typeface="+mn-ea"/>
              <a:cs typeface="Times New Roman" panose="02020603050405020304" pitchFamily="18" charset="0"/>
            </a:rPr>
            <a:t>₹ 577,604.82 </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11</xdr:col>
      <xdr:colOff>202406</xdr:colOff>
      <xdr:row>1</xdr:row>
      <xdr:rowOff>178594</xdr:rowOff>
    </xdr:from>
    <xdr:to>
      <xdr:col>14</xdr:col>
      <xdr:colOff>452437</xdr:colOff>
      <xdr:row>5</xdr:row>
      <xdr:rowOff>130969</xdr:rowOff>
    </xdr:to>
    <xdr:sp macro="" textlink="">
      <xdr:nvSpPr>
        <xdr:cNvPr id="18" name="TextBox 17">
          <a:extLst>
            <a:ext uri="{FF2B5EF4-FFF2-40B4-BE49-F238E27FC236}">
              <a16:creationId xmlns:a16="http://schemas.microsoft.com/office/drawing/2014/main" id="{3FA40B10-00B6-81F7-8216-D3EE915C2D81}"/>
            </a:ext>
          </a:extLst>
        </xdr:cNvPr>
        <xdr:cNvSpPr txBox="1"/>
      </xdr:nvSpPr>
      <xdr:spPr>
        <a:xfrm>
          <a:off x="6881812" y="369094"/>
          <a:ext cx="2071688" cy="714375"/>
        </a:xfrm>
        <a:prstGeom prst="rect">
          <a:avLst/>
        </a:prstGeom>
        <a:solidFill>
          <a:schemeClr val="accent5">
            <a:lumMod val="40000"/>
            <a:lumOff val="60000"/>
          </a:schemeClr>
        </a:solid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Times New Roman" panose="02020603050405020304" pitchFamily="18" charset="0"/>
              <a:ea typeface="+mn-ea"/>
              <a:cs typeface="Times New Roman" panose="02020603050405020304" pitchFamily="18" charset="0"/>
            </a:rPr>
            <a:t>Profit Percentage</a:t>
          </a:r>
        </a:p>
        <a:p>
          <a:pPr algn="ctr"/>
          <a:r>
            <a:rPr lang="en-IN" sz="1800" b="1" i="0" u="none" strike="noStrike">
              <a:solidFill>
                <a:schemeClr val="dk1"/>
              </a:solidFill>
              <a:effectLst/>
              <a:latin typeface="Times New Roman" panose="02020603050405020304" pitchFamily="18" charset="0"/>
              <a:ea typeface="+mn-ea"/>
              <a:cs typeface="Times New Roman" panose="02020603050405020304" pitchFamily="18" charset="0"/>
            </a:rPr>
            <a:t>89.51%</a:t>
          </a:r>
          <a:r>
            <a:rPr lang="en-IN" sz="1800" b="1">
              <a:effectLst/>
              <a:latin typeface="Times New Roman" panose="02020603050405020304" pitchFamily="18" charset="0"/>
              <a:cs typeface="Times New Roman" panose="02020603050405020304" pitchFamily="18" charset="0"/>
            </a:rPr>
            <a:t> </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15</xdr:col>
      <xdr:colOff>535782</xdr:colOff>
      <xdr:row>1</xdr:row>
      <xdr:rowOff>166687</xdr:rowOff>
    </xdr:from>
    <xdr:to>
      <xdr:col>19</xdr:col>
      <xdr:colOff>261938</xdr:colOff>
      <xdr:row>5</xdr:row>
      <xdr:rowOff>107156</xdr:rowOff>
    </xdr:to>
    <xdr:sp macro="" textlink="">
      <xdr:nvSpPr>
        <xdr:cNvPr id="15" name="TextBox 14">
          <a:extLst>
            <a:ext uri="{FF2B5EF4-FFF2-40B4-BE49-F238E27FC236}">
              <a16:creationId xmlns:a16="http://schemas.microsoft.com/office/drawing/2014/main" id="{A8E2E3AE-586D-1359-F948-D3B5D6569BA5}"/>
            </a:ext>
          </a:extLst>
        </xdr:cNvPr>
        <xdr:cNvSpPr txBox="1"/>
      </xdr:nvSpPr>
      <xdr:spPr>
        <a:xfrm>
          <a:off x="9644063" y="357187"/>
          <a:ext cx="2155031" cy="702469"/>
        </a:xfrm>
        <a:prstGeom prst="rect">
          <a:avLst/>
        </a:prstGeom>
        <a:solidFill>
          <a:schemeClr val="accent5">
            <a:lumMod val="40000"/>
            <a:lumOff val="60000"/>
          </a:schemeClr>
        </a:solid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Times New Roman" panose="02020603050405020304" pitchFamily="18" charset="0"/>
              <a:ea typeface="+mn-ea"/>
              <a:cs typeface="Times New Roman" panose="02020603050405020304" pitchFamily="18" charset="0"/>
            </a:rPr>
            <a:t>Average Order Value </a:t>
          </a:r>
        </a:p>
        <a:p>
          <a:pPr algn="ctr"/>
          <a:r>
            <a:rPr lang="en-IN" sz="1100" b="0" i="0" u="none" strike="noStrike">
              <a:solidFill>
                <a:schemeClr val="dk1"/>
              </a:solidFill>
              <a:effectLst/>
              <a:latin typeface="+mn-lt"/>
              <a:ea typeface="+mn-ea"/>
              <a:cs typeface="+mn-cs"/>
            </a:rPr>
            <a:t> </a:t>
          </a:r>
          <a:r>
            <a:rPr lang="en-IN" sz="1800" b="1" i="0" u="none" strike="noStrike">
              <a:solidFill>
                <a:schemeClr val="dk1"/>
              </a:solidFill>
              <a:effectLst/>
              <a:latin typeface="Times New Roman" panose="02020603050405020304" pitchFamily="18" charset="0"/>
              <a:ea typeface="+mn-ea"/>
              <a:cs typeface="Times New Roman" panose="02020603050405020304" pitchFamily="18" charset="0"/>
            </a:rPr>
            <a:t>₹  12.53 </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20</xdr:col>
      <xdr:colOff>380999</xdr:colOff>
      <xdr:row>2</xdr:row>
      <xdr:rowOff>1</xdr:rowOff>
    </xdr:from>
    <xdr:to>
      <xdr:col>24</xdr:col>
      <xdr:colOff>321468</xdr:colOff>
      <xdr:row>5</xdr:row>
      <xdr:rowOff>130969</xdr:rowOff>
    </xdr:to>
    <xdr:sp macro="" textlink="">
      <xdr:nvSpPr>
        <xdr:cNvPr id="19" name="TextBox 18">
          <a:extLst>
            <a:ext uri="{FF2B5EF4-FFF2-40B4-BE49-F238E27FC236}">
              <a16:creationId xmlns:a16="http://schemas.microsoft.com/office/drawing/2014/main" id="{C30ED0FA-3368-0928-06D2-1DB6C80CE549}"/>
            </a:ext>
          </a:extLst>
        </xdr:cNvPr>
        <xdr:cNvSpPr txBox="1"/>
      </xdr:nvSpPr>
      <xdr:spPr>
        <a:xfrm>
          <a:off x="12525374" y="381001"/>
          <a:ext cx="2369344" cy="702468"/>
        </a:xfrm>
        <a:prstGeom prst="rect">
          <a:avLst/>
        </a:prstGeom>
        <a:solidFill>
          <a:schemeClr val="accent5">
            <a:lumMod val="40000"/>
            <a:lumOff val="60000"/>
          </a:schemeClr>
        </a:solidFill>
        <a:ln w="2857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Times New Roman" panose="02020603050405020304" pitchFamily="18" charset="0"/>
              <a:ea typeface="+mn-ea"/>
              <a:cs typeface="Times New Roman" panose="02020603050405020304" pitchFamily="18" charset="0"/>
            </a:rPr>
            <a:t>Top Performing Region</a:t>
          </a:r>
        </a:p>
        <a:p>
          <a:pPr algn="ctr"/>
          <a:r>
            <a:rPr lang="en-IN" sz="1800" b="1" i="0" u="none" strike="noStrike">
              <a:solidFill>
                <a:schemeClr val="dk1"/>
              </a:solidFill>
              <a:effectLst/>
              <a:latin typeface="Times New Roman" panose="02020603050405020304" pitchFamily="18" charset="0"/>
              <a:ea typeface="+mn-ea"/>
              <a:cs typeface="Times New Roman" panose="02020603050405020304" pitchFamily="18" charset="0"/>
            </a:rPr>
            <a:t>Mumbai</a:t>
          </a:r>
          <a:r>
            <a:rPr lang="en-IN" sz="1800" b="1">
              <a:effectLst/>
              <a:latin typeface="Times New Roman" panose="02020603050405020304" pitchFamily="18" charset="0"/>
              <a:cs typeface="Times New Roman" panose="02020603050405020304" pitchFamily="18" charset="0"/>
            </a:rPr>
            <a:t> </a:t>
          </a:r>
          <a:endParaRPr lang="en-IN" sz="18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476250</xdr:colOff>
      <xdr:row>8</xdr:row>
      <xdr:rowOff>122465</xdr:rowOff>
    </xdr:from>
    <xdr:to>
      <xdr:col>5</xdr:col>
      <xdr:colOff>43543</xdr:colOff>
      <xdr:row>12</xdr:row>
      <xdr:rowOff>160565</xdr:rowOff>
    </xdr:to>
    <mc:AlternateContent xmlns:mc="http://schemas.openxmlformats.org/markup-compatibility/2006" xmlns:a14="http://schemas.microsoft.com/office/drawing/2010/main">
      <mc:Choice Requires="a14">
        <xdr:graphicFrame macro="">
          <xdr:nvGraphicFramePr>
            <xdr:cNvPr id="13" name="Product type 1">
              <a:extLst>
                <a:ext uri="{FF2B5EF4-FFF2-40B4-BE49-F238E27FC236}">
                  <a16:creationId xmlns:a16="http://schemas.microsoft.com/office/drawing/2014/main" id="{303DE5CB-51BD-4A45-B6BC-434080AFBD65}"/>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476250" y="1646465"/>
              <a:ext cx="2628900"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460617</xdr:colOff>
      <xdr:row>15</xdr:row>
      <xdr:rowOff>98145</xdr:rowOff>
    </xdr:from>
    <xdr:to>
      <xdr:col>5</xdr:col>
      <xdr:colOff>40822</xdr:colOff>
      <xdr:row>21</xdr:row>
      <xdr:rowOff>27215</xdr:rowOff>
    </xdr:to>
    <mc:AlternateContent xmlns:mc="http://schemas.openxmlformats.org/markup-compatibility/2006" xmlns:a14="http://schemas.microsoft.com/office/drawing/2010/main">
      <mc:Choice Requires="a14">
        <xdr:graphicFrame macro="">
          <xdr:nvGraphicFramePr>
            <xdr:cNvPr id="14" name="Customer demographics 1">
              <a:extLst>
                <a:ext uri="{FF2B5EF4-FFF2-40B4-BE49-F238E27FC236}">
                  <a16:creationId xmlns:a16="http://schemas.microsoft.com/office/drawing/2014/main" id="{D3550501-40FF-41CC-A699-FBDB7C47CF27}"/>
                </a:ext>
              </a:extLst>
            </xdr:cNvPr>
            <xdr:cNvGraphicFramePr/>
          </xdr:nvGraphicFramePr>
          <xdr:xfrm>
            <a:off x="0" y="0"/>
            <a:ext cx="0" cy="0"/>
          </xdr:xfrm>
          <a:graphic>
            <a:graphicData uri="http://schemas.microsoft.com/office/drawing/2010/slicer">
              <sle:slicer xmlns:sle="http://schemas.microsoft.com/office/drawing/2010/slicer" name="Customer demographics 1"/>
            </a:graphicData>
          </a:graphic>
        </xdr:graphicFrame>
      </mc:Choice>
      <mc:Fallback xmlns="">
        <xdr:sp macro="" textlink="">
          <xdr:nvSpPr>
            <xdr:cNvPr id="0" name=""/>
            <xdr:cNvSpPr>
              <a:spLocks noTextEdit="1"/>
            </xdr:cNvSpPr>
          </xdr:nvSpPr>
          <xdr:spPr>
            <a:xfrm>
              <a:off x="460617" y="2955645"/>
              <a:ext cx="2641812" cy="1072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515044</xdr:colOff>
      <xdr:row>23</xdr:row>
      <xdr:rowOff>125358</xdr:rowOff>
    </xdr:from>
    <xdr:to>
      <xdr:col>4</xdr:col>
      <xdr:colOff>418433</xdr:colOff>
      <xdr:row>33</xdr:row>
      <xdr:rowOff>176893</xdr:rowOff>
    </xdr:to>
    <mc:AlternateContent xmlns:mc="http://schemas.openxmlformats.org/markup-compatibility/2006" xmlns:a14="http://schemas.microsoft.com/office/drawing/2010/main">
      <mc:Choice Requires="a14">
        <xdr:graphicFrame macro="">
          <xdr:nvGraphicFramePr>
            <xdr:cNvPr id="16" name="Location 1">
              <a:extLst>
                <a:ext uri="{FF2B5EF4-FFF2-40B4-BE49-F238E27FC236}">
                  <a16:creationId xmlns:a16="http://schemas.microsoft.com/office/drawing/2014/main" id="{D2DAD99C-CA32-4533-B11C-3A27F9033B9C}"/>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515044" y="4506858"/>
              <a:ext cx="2352675" cy="1956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430892</xdr:colOff>
      <xdr:row>23</xdr:row>
      <xdr:rowOff>0</xdr:rowOff>
    </xdr:from>
    <xdr:to>
      <xdr:col>25</xdr:col>
      <xdr:colOff>215445</xdr:colOff>
      <xdr:row>37</xdr:row>
      <xdr:rowOff>22678</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2D6A56BC-D973-4D99-976A-AF724C4DC8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184492" y="4381500"/>
              <a:ext cx="5270953" cy="26896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172508</xdr:colOff>
      <xdr:row>11</xdr:row>
      <xdr:rowOff>150283</xdr:rowOff>
    </xdr:from>
    <xdr:to>
      <xdr:col>3</xdr:col>
      <xdr:colOff>363008</xdr:colOff>
      <xdr:row>16</xdr:row>
      <xdr:rowOff>121708</xdr:rowOff>
    </xdr:to>
    <xdr:sp macro="" textlink="">
      <xdr:nvSpPr>
        <xdr:cNvPr id="3" name="Rectangle: Rounded Corners 2">
          <a:extLst>
            <a:ext uri="{FF2B5EF4-FFF2-40B4-BE49-F238E27FC236}">
              <a16:creationId xmlns:a16="http://schemas.microsoft.com/office/drawing/2014/main" id="{3A58B621-6066-9198-74AC-F82BABD345AE}"/>
            </a:ext>
          </a:extLst>
        </xdr:cNvPr>
        <xdr:cNvSpPr/>
      </xdr:nvSpPr>
      <xdr:spPr>
        <a:xfrm>
          <a:off x="172508" y="2245783"/>
          <a:ext cx="2032000" cy="923925"/>
        </a:xfrm>
        <a:prstGeom prst="roundRect">
          <a:avLst/>
        </a:prstGeom>
        <a:solidFill>
          <a:schemeClr val="accent6"/>
        </a:solid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chemeClr val="lt1"/>
              </a:solidFill>
              <a:effectLst/>
              <a:latin typeface="Times New Roman" panose="02020603050405020304" pitchFamily="18" charset="0"/>
              <a:ea typeface="+mn-ea"/>
              <a:cs typeface="Times New Roman" panose="02020603050405020304" pitchFamily="18" charset="0"/>
            </a:rPr>
            <a:t>Stock Utility %</a:t>
          </a:r>
        </a:p>
        <a:p>
          <a:pPr algn="ctr"/>
          <a:r>
            <a:rPr lang="en-IN" sz="1800" b="1" i="0" u="none" strike="noStrike">
              <a:solidFill>
                <a:schemeClr val="lt1"/>
              </a:solidFill>
              <a:effectLst/>
              <a:latin typeface="Times New Roman" panose="02020603050405020304" pitchFamily="18" charset="0"/>
              <a:ea typeface="+mn-ea"/>
              <a:cs typeface="Times New Roman" panose="02020603050405020304" pitchFamily="18" charset="0"/>
            </a:rPr>
            <a:t>10.50%</a:t>
          </a:r>
          <a:r>
            <a:rPr lang="en-IN" sz="1800" b="1">
              <a:effectLst/>
              <a:latin typeface="Times New Roman" panose="02020603050405020304" pitchFamily="18" charset="0"/>
              <a:cs typeface="Times New Roman" panose="02020603050405020304" pitchFamily="18" charset="0"/>
            </a:rPr>
            <a:t> </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0</xdr:col>
      <xdr:colOff>162984</xdr:colOff>
      <xdr:row>18</xdr:row>
      <xdr:rowOff>170392</xdr:rowOff>
    </xdr:from>
    <xdr:to>
      <xdr:col>3</xdr:col>
      <xdr:colOff>353484</xdr:colOff>
      <xdr:row>23</xdr:row>
      <xdr:rowOff>141817</xdr:rowOff>
    </xdr:to>
    <xdr:sp macro="" textlink="">
      <xdr:nvSpPr>
        <xdr:cNvPr id="4" name="Rectangle: Rounded Corners 3">
          <a:extLst>
            <a:ext uri="{FF2B5EF4-FFF2-40B4-BE49-F238E27FC236}">
              <a16:creationId xmlns:a16="http://schemas.microsoft.com/office/drawing/2014/main" id="{C2237F6A-B3B0-4DB1-9B51-482CE502C0D9}"/>
            </a:ext>
          </a:extLst>
        </xdr:cNvPr>
        <xdr:cNvSpPr/>
      </xdr:nvSpPr>
      <xdr:spPr>
        <a:xfrm>
          <a:off x="162984" y="3599392"/>
          <a:ext cx="2032000" cy="923925"/>
        </a:xfrm>
        <a:prstGeom prst="roundRect">
          <a:avLst/>
        </a:prstGeom>
        <a:solidFill>
          <a:schemeClr val="accent6"/>
        </a:solid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strike="noStrike">
              <a:solidFill>
                <a:schemeClr val="lt1"/>
              </a:solidFill>
              <a:effectLst/>
              <a:latin typeface="Times New Roman" panose="02020603050405020304" pitchFamily="18" charset="0"/>
              <a:ea typeface="+mn-ea"/>
              <a:cs typeface="Times New Roman" panose="02020603050405020304" pitchFamily="18" charset="0"/>
            </a:rPr>
            <a:t>Average Order Quantity</a:t>
          </a:r>
        </a:p>
        <a:p>
          <a:pPr algn="ctr"/>
          <a:r>
            <a:rPr lang="en-IN" b="1">
              <a:latin typeface="Times New Roman" panose="02020603050405020304" pitchFamily="18" charset="0"/>
              <a:cs typeface="Times New Roman" panose="02020603050405020304" pitchFamily="18" charset="0"/>
            </a:rPr>
            <a:t>Target ≥ 50 units</a:t>
          </a:r>
          <a:endParaRPr lang="en-IN" sz="1100" b="1" i="0" u="none" strike="noStrike">
            <a:solidFill>
              <a:schemeClr val="lt1"/>
            </a:solidFill>
            <a:effectLst/>
            <a:latin typeface="Times New Roman" panose="02020603050405020304" pitchFamily="18" charset="0"/>
            <a:ea typeface="+mn-ea"/>
            <a:cs typeface="Times New Roman" panose="02020603050405020304" pitchFamily="18" charset="0"/>
          </a:endParaRPr>
        </a:p>
        <a:p>
          <a:pPr algn="ctr"/>
          <a:r>
            <a:rPr lang="en-IN" sz="1800" b="1" i="0" u="none" strike="noStrike">
              <a:solidFill>
                <a:schemeClr val="accent4"/>
              </a:solidFill>
              <a:effectLst/>
              <a:latin typeface="Times New Roman" panose="02020603050405020304" pitchFamily="18" charset="0"/>
              <a:ea typeface="+mn-ea"/>
              <a:cs typeface="Times New Roman" panose="02020603050405020304" pitchFamily="18" charset="0"/>
            </a:rPr>
            <a:t>49.22</a:t>
          </a:r>
          <a:r>
            <a:rPr lang="en-IN" sz="1800">
              <a:effectLst/>
            </a:rPr>
            <a:t> </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0</xdr:col>
      <xdr:colOff>142875</xdr:colOff>
      <xdr:row>26</xdr:row>
      <xdr:rowOff>27516</xdr:rowOff>
    </xdr:from>
    <xdr:to>
      <xdr:col>3</xdr:col>
      <xdr:colOff>333375</xdr:colOff>
      <xdr:row>30</xdr:row>
      <xdr:rowOff>189441</xdr:rowOff>
    </xdr:to>
    <xdr:sp macro="" textlink="">
      <xdr:nvSpPr>
        <xdr:cNvPr id="5" name="Rectangle: Rounded Corners 4">
          <a:extLst>
            <a:ext uri="{FF2B5EF4-FFF2-40B4-BE49-F238E27FC236}">
              <a16:creationId xmlns:a16="http://schemas.microsoft.com/office/drawing/2014/main" id="{5CF5D94F-5E25-42E3-A3D5-5FE85D7D23F8}"/>
            </a:ext>
          </a:extLst>
        </xdr:cNvPr>
        <xdr:cNvSpPr/>
      </xdr:nvSpPr>
      <xdr:spPr>
        <a:xfrm>
          <a:off x="142875" y="4980516"/>
          <a:ext cx="2032000" cy="923925"/>
        </a:xfrm>
        <a:prstGeom prst="roundRect">
          <a:avLst/>
        </a:prstGeom>
        <a:solidFill>
          <a:schemeClr val="accent6"/>
        </a:solid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i="0" u="none" strike="noStrike">
              <a:solidFill>
                <a:schemeClr val="lt1"/>
              </a:solidFill>
              <a:effectLst/>
              <a:latin typeface="Times New Roman" panose="02020603050405020304" pitchFamily="18" charset="0"/>
              <a:ea typeface="+mn-ea"/>
              <a:cs typeface="Times New Roman" panose="02020603050405020304" pitchFamily="18" charset="0"/>
            </a:rPr>
            <a:t>Average Fulfilment Time </a:t>
          </a:r>
        </a:p>
        <a:p>
          <a:pPr algn="ctr"/>
          <a:r>
            <a:rPr lang="en-IN" sz="1000" b="1" i="0" u="none" strike="noStrike">
              <a:solidFill>
                <a:schemeClr val="lt1"/>
              </a:solidFill>
              <a:effectLst/>
              <a:latin typeface="Times New Roman" panose="02020603050405020304" pitchFamily="18" charset="0"/>
              <a:ea typeface="+mn-ea"/>
              <a:cs typeface="Times New Roman" panose="02020603050405020304" pitchFamily="18" charset="0"/>
            </a:rPr>
            <a:t>(in days)</a:t>
          </a:r>
        </a:p>
        <a:p>
          <a:pPr algn="ctr"/>
          <a:r>
            <a:rPr lang="en-IN" sz="1000" b="1">
              <a:latin typeface="Times New Roman" panose="02020603050405020304" pitchFamily="18" charset="0"/>
              <a:cs typeface="Times New Roman" panose="02020603050405020304" pitchFamily="18" charset="0"/>
            </a:rPr>
            <a:t>SLA ≤ 15 days</a:t>
          </a:r>
          <a:endParaRPr lang="en-IN" sz="1000" b="1" i="0" u="none" strike="noStrike">
            <a:solidFill>
              <a:schemeClr val="lt1"/>
            </a:solidFill>
            <a:effectLst/>
            <a:latin typeface="Times New Roman" panose="02020603050405020304" pitchFamily="18" charset="0"/>
            <a:ea typeface="+mn-ea"/>
            <a:cs typeface="Times New Roman" panose="02020603050405020304" pitchFamily="18" charset="0"/>
          </a:endParaRPr>
        </a:p>
        <a:p>
          <a:pPr algn="ctr"/>
          <a:r>
            <a:rPr lang="en-IN" sz="1800" b="1" i="0" u="none" strike="noStrike">
              <a:solidFill>
                <a:srgbClr val="FF0000"/>
              </a:solidFill>
              <a:effectLst/>
              <a:latin typeface="Times New Roman" panose="02020603050405020304" pitchFamily="18" charset="0"/>
              <a:ea typeface="+mn-ea"/>
              <a:cs typeface="Times New Roman" panose="02020603050405020304" pitchFamily="18" charset="0"/>
            </a:rPr>
            <a:t>17.08</a:t>
          </a:r>
          <a:r>
            <a:rPr lang="en-IN">
              <a:effectLst/>
            </a:rPr>
            <a:t> </a:t>
          </a:r>
          <a:endParaRPr lang="en-IN" sz="1100"/>
        </a:p>
      </xdr:txBody>
    </xdr:sp>
    <xdr:clientData/>
  </xdr:twoCellAnchor>
  <xdr:twoCellAnchor>
    <xdr:from>
      <xdr:col>0</xdr:col>
      <xdr:colOff>172508</xdr:colOff>
      <xdr:row>4</xdr:row>
      <xdr:rowOff>147108</xdr:rowOff>
    </xdr:from>
    <xdr:to>
      <xdr:col>3</xdr:col>
      <xdr:colOff>363008</xdr:colOff>
      <xdr:row>9</xdr:row>
      <xdr:rowOff>118533</xdr:rowOff>
    </xdr:to>
    <xdr:sp macro="" textlink="">
      <xdr:nvSpPr>
        <xdr:cNvPr id="6" name="Rectangle: Rounded Corners 5">
          <a:extLst>
            <a:ext uri="{FF2B5EF4-FFF2-40B4-BE49-F238E27FC236}">
              <a16:creationId xmlns:a16="http://schemas.microsoft.com/office/drawing/2014/main" id="{E227A7EF-FAAE-486C-B545-4561FC4D0297}"/>
            </a:ext>
          </a:extLst>
        </xdr:cNvPr>
        <xdr:cNvSpPr/>
      </xdr:nvSpPr>
      <xdr:spPr>
        <a:xfrm>
          <a:off x="172508" y="909108"/>
          <a:ext cx="2032000" cy="923925"/>
        </a:xfrm>
        <a:prstGeom prst="roundRect">
          <a:avLst/>
        </a:prstGeom>
        <a:solidFill>
          <a:schemeClr val="accent6"/>
        </a:solid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i="0" u="none" strike="noStrike">
              <a:solidFill>
                <a:schemeClr val="bg1"/>
              </a:solidFill>
              <a:effectLst/>
              <a:latin typeface="Times New Roman" panose="02020603050405020304" pitchFamily="18" charset="0"/>
              <a:ea typeface="+mn-ea"/>
              <a:cs typeface="Times New Roman" panose="02020603050405020304" pitchFamily="18" charset="0"/>
            </a:rPr>
            <a:t>Average Shipping time</a:t>
          </a:r>
        </a:p>
        <a:p>
          <a:pPr algn="ctr"/>
          <a:r>
            <a:rPr lang="en-IN" sz="900" b="1" i="0" u="none" strike="noStrike">
              <a:solidFill>
                <a:schemeClr val="bg1"/>
              </a:solidFill>
              <a:effectLst/>
              <a:latin typeface="Times New Roman" panose="02020603050405020304" pitchFamily="18" charset="0"/>
              <a:ea typeface="+mn-ea"/>
              <a:cs typeface="Times New Roman" panose="02020603050405020304" pitchFamily="18" charset="0"/>
            </a:rPr>
            <a:t>(in days)</a:t>
          </a:r>
        </a:p>
        <a:p>
          <a:pPr algn="ctr"/>
          <a:r>
            <a:rPr lang="en-IN" sz="900" b="1">
              <a:solidFill>
                <a:schemeClr val="bg1"/>
              </a:solidFill>
              <a:latin typeface="Times New Roman" panose="02020603050405020304" pitchFamily="18" charset="0"/>
              <a:cs typeface="Times New Roman" panose="02020603050405020304" pitchFamily="18" charset="0"/>
            </a:rPr>
            <a:t>Target ≤ 7 days</a:t>
          </a:r>
          <a:endParaRPr lang="en-IN" sz="900" b="1" i="0" u="none" strike="noStrike">
            <a:solidFill>
              <a:schemeClr val="bg1"/>
            </a:solidFill>
            <a:effectLst/>
            <a:latin typeface="Times New Roman" panose="02020603050405020304" pitchFamily="18" charset="0"/>
            <a:ea typeface="+mn-ea"/>
            <a:cs typeface="Times New Roman" panose="02020603050405020304" pitchFamily="18" charset="0"/>
          </a:endParaRPr>
        </a:p>
        <a:p>
          <a:pPr algn="ctr"/>
          <a:r>
            <a:rPr lang="en-IN" sz="2000" b="1" i="0" u="none" strike="noStrike">
              <a:solidFill>
                <a:srgbClr val="0070C0"/>
              </a:solidFill>
              <a:effectLst/>
              <a:latin typeface="Times New Roman" panose="02020603050405020304" pitchFamily="18" charset="0"/>
              <a:ea typeface="+mn-ea"/>
              <a:cs typeface="Times New Roman" panose="02020603050405020304" pitchFamily="18" charset="0"/>
            </a:rPr>
            <a:t>5.75</a:t>
          </a:r>
          <a:r>
            <a:rPr lang="en-IN">
              <a:solidFill>
                <a:srgbClr val="0070C0"/>
              </a:solidFill>
              <a:effectLst/>
            </a:rPr>
            <a:t> </a:t>
          </a:r>
          <a:endParaRPr lang="en-IN" sz="1100">
            <a:solidFill>
              <a:srgbClr val="0070C0"/>
            </a:solidFill>
          </a:endParaRPr>
        </a:p>
      </xdr:txBody>
    </xdr:sp>
    <xdr:clientData/>
  </xdr:twoCellAnchor>
  <xdr:oneCellAnchor>
    <xdr:from>
      <xdr:col>7</xdr:col>
      <xdr:colOff>142876</xdr:colOff>
      <xdr:row>0</xdr:row>
      <xdr:rowOff>93134</xdr:rowOff>
    </xdr:from>
    <xdr:ext cx="4683205" cy="505203"/>
    <xdr:sp macro="" textlink="">
      <xdr:nvSpPr>
        <xdr:cNvPr id="7" name="TextBox 6">
          <a:extLst>
            <a:ext uri="{FF2B5EF4-FFF2-40B4-BE49-F238E27FC236}">
              <a16:creationId xmlns:a16="http://schemas.microsoft.com/office/drawing/2014/main" id="{1DC2B4E4-2258-B4F9-C350-D0E81C888D19}"/>
            </a:ext>
          </a:extLst>
        </xdr:cNvPr>
        <xdr:cNvSpPr txBox="1"/>
      </xdr:nvSpPr>
      <xdr:spPr>
        <a:xfrm>
          <a:off x="4439709" y="93134"/>
          <a:ext cx="4683205"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scene3d>
            <a:camera prst="orthographicFront"/>
            <a:lightRig rig="harsh" dir="t"/>
          </a:scene3d>
          <a:sp3d extrusionH="57150" prstMaterial="matte">
            <a:bevelT w="63500" h="12700" prst="angle"/>
            <a:contourClr>
              <a:schemeClr val="bg1">
                <a:lumMod val="65000"/>
              </a:schemeClr>
            </a:contourClr>
          </a:sp3d>
        </a:bodyPr>
        <a:lstStyle/>
        <a:p>
          <a:r>
            <a:rPr lang="en-IN" sz="2800" b="1" cap="none" spc="0">
              <a:ln/>
              <a:solidFill>
                <a:schemeClr val="accent4">
                  <a:lumMod val="75000"/>
                </a:schemeClr>
              </a:solidFill>
              <a:effectLst/>
              <a:latin typeface="Times New Roman" panose="02020603050405020304" pitchFamily="18" charset="0"/>
              <a:cs typeface="Times New Roman" panose="02020603050405020304" pitchFamily="18" charset="0"/>
            </a:rPr>
            <a:t>Inventory/Orders</a:t>
          </a:r>
          <a:r>
            <a:rPr lang="en-IN" sz="2800" b="1" cap="none" spc="0" baseline="0">
              <a:ln/>
              <a:solidFill>
                <a:schemeClr val="accent4">
                  <a:lumMod val="75000"/>
                </a:schemeClr>
              </a:solidFill>
              <a:effectLst/>
              <a:latin typeface="Times New Roman" panose="02020603050405020304" pitchFamily="18" charset="0"/>
              <a:cs typeface="Times New Roman" panose="02020603050405020304" pitchFamily="18" charset="0"/>
            </a:rPr>
            <a:t> Dashboard</a:t>
          </a:r>
          <a:endParaRPr lang="en-IN" sz="2800" b="1" cap="none" spc="0">
            <a:ln/>
            <a:solidFill>
              <a:schemeClr val="accent4">
                <a:lumMod val="75000"/>
              </a:schemeClr>
            </a:solidFill>
            <a:effectLst/>
            <a:latin typeface="Times New Roman" panose="02020603050405020304" pitchFamily="18" charset="0"/>
            <a:cs typeface="Times New Roman" panose="02020603050405020304" pitchFamily="18" charset="0"/>
          </a:endParaRPr>
        </a:p>
      </xdr:txBody>
    </xdr:sp>
    <xdr:clientData/>
  </xdr:oneCellAnchor>
  <xdr:twoCellAnchor editAs="oneCell">
    <xdr:from>
      <xdr:col>0</xdr:col>
      <xdr:colOff>425451</xdr:colOff>
      <xdr:row>0</xdr:row>
      <xdr:rowOff>120650</xdr:rowOff>
    </xdr:from>
    <xdr:to>
      <xdr:col>3</xdr:col>
      <xdr:colOff>116418</xdr:colOff>
      <xdr:row>3</xdr:row>
      <xdr:rowOff>166791</xdr:rowOff>
    </xdr:to>
    <xdr:pic>
      <xdr:nvPicPr>
        <xdr:cNvPr id="11" name="Picture 10">
          <a:extLst>
            <a:ext uri="{FF2B5EF4-FFF2-40B4-BE49-F238E27FC236}">
              <a16:creationId xmlns:a16="http://schemas.microsoft.com/office/drawing/2014/main" id="{8187459F-DD0C-F991-ABA0-901536CDB5AB}"/>
            </a:ext>
          </a:extLst>
        </xdr:cNvPr>
        <xdr:cNvPicPr>
          <a:picLocks noChangeAspect="1"/>
        </xdr:cNvPicPr>
      </xdr:nvPicPr>
      <xdr:blipFill>
        <a:blip xmlns:r="http://schemas.openxmlformats.org/officeDocument/2006/relationships" r:embed="rId1"/>
        <a:stretch>
          <a:fillRect/>
        </a:stretch>
      </xdr:blipFill>
      <xdr:spPr>
        <a:xfrm>
          <a:off x="425451" y="120650"/>
          <a:ext cx="1532467" cy="617641"/>
        </a:xfrm>
        <a:prstGeom prst="rect">
          <a:avLst/>
        </a:prstGeom>
      </xdr:spPr>
    </xdr:pic>
    <xdr:clientData/>
  </xdr:twoCellAnchor>
  <xdr:twoCellAnchor>
    <xdr:from>
      <xdr:col>3</xdr:col>
      <xdr:colOff>600075</xdr:colOff>
      <xdr:row>3</xdr:row>
      <xdr:rowOff>123825</xdr:rowOff>
    </xdr:from>
    <xdr:to>
      <xdr:col>11</xdr:col>
      <xdr:colOff>295275</xdr:colOff>
      <xdr:row>18</xdr:row>
      <xdr:rowOff>9525</xdr:rowOff>
    </xdr:to>
    <xdr:graphicFrame macro="">
      <xdr:nvGraphicFramePr>
        <xdr:cNvPr id="2" name="Chart 1">
          <a:extLst>
            <a:ext uri="{FF2B5EF4-FFF2-40B4-BE49-F238E27FC236}">
              <a16:creationId xmlns:a16="http://schemas.microsoft.com/office/drawing/2014/main" id="{6FEBC09D-2475-454C-ABDE-C69780E72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13503</xdr:colOff>
      <xdr:row>3</xdr:row>
      <xdr:rowOff>31020</xdr:rowOff>
    </xdr:from>
    <xdr:to>
      <xdr:col>25</xdr:col>
      <xdr:colOff>436106</xdr:colOff>
      <xdr:row>32</xdr:row>
      <xdr:rowOff>185390</xdr:rowOff>
    </xdr:to>
    <xdr:sp macro="" textlink="">
      <xdr:nvSpPr>
        <xdr:cNvPr id="12" name="Rectangle: Rounded Corners 11">
          <a:extLst>
            <a:ext uri="{FF2B5EF4-FFF2-40B4-BE49-F238E27FC236}">
              <a16:creationId xmlns:a16="http://schemas.microsoft.com/office/drawing/2014/main" id="{89E3142F-C62F-1B3B-F7DA-3B738815650A}"/>
            </a:ext>
          </a:extLst>
        </xdr:cNvPr>
        <xdr:cNvSpPr/>
      </xdr:nvSpPr>
      <xdr:spPr>
        <a:xfrm>
          <a:off x="12275572" y="589382"/>
          <a:ext cx="3488120" cy="5551870"/>
        </a:xfrm>
        <a:prstGeom prst="roundRect">
          <a:avLst/>
        </a:prstGeom>
        <a:ln w="38100">
          <a:solidFill>
            <a:schemeClr val="accent5">
              <a:lumMod val="5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20</xdr:col>
      <xdr:colOff>350343</xdr:colOff>
      <xdr:row>7</xdr:row>
      <xdr:rowOff>10948</xdr:rowOff>
    </xdr:from>
    <xdr:to>
      <xdr:col>25</xdr:col>
      <xdr:colOff>65689</xdr:colOff>
      <xdr:row>11</xdr:row>
      <xdr:rowOff>153276</xdr:rowOff>
    </xdr:to>
    <mc:AlternateContent xmlns:mc="http://schemas.openxmlformats.org/markup-compatibility/2006" xmlns:a14="http://schemas.microsoft.com/office/drawing/2010/main">
      <mc:Choice Requires="a14">
        <xdr:graphicFrame macro="">
          <xdr:nvGraphicFramePr>
            <xdr:cNvPr id="10" name="Product type 3">
              <a:extLst>
                <a:ext uri="{FF2B5EF4-FFF2-40B4-BE49-F238E27FC236}">
                  <a16:creationId xmlns:a16="http://schemas.microsoft.com/office/drawing/2014/main" id="{2B6CFDB6-3A6E-4E59-AA33-3D9718C2617C}"/>
                </a:ext>
              </a:extLst>
            </xdr:cNvPr>
            <xdr:cNvGraphicFramePr/>
          </xdr:nvGraphicFramePr>
          <xdr:xfrm>
            <a:off x="0" y="0"/>
            <a:ext cx="0" cy="0"/>
          </xdr:xfrm>
          <a:graphic>
            <a:graphicData uri="http://schemas.microsoft.com/office/drawing/2010/slicer">
              <sle:slicer xmlns:sle="http://schemas.microsoft.com/office/drawing/2010/slicer" name="Product type 3"/>
            </a:graphicData>
          </a:graphic>
        </xdr:graphicFrame>
      </mc:Choice>
      <mc:Fallback xmlns="">
        <xdr:sp macro="" textlink="">
          <xdr:nvSpPr>
            <xdr:cNvPr id="0" name=""/>
            <xdr:cNvSpPr>
              <a:spLocks noTextEdit="1"/>
            </xdr:cNvSpPr>
          </xdr:nvSpPr>
          <xdr:spPr>
            <a:xfrm>
              <a:off x="12612412" y="1313793"/>
              <a:ext cx="2780863" cy="886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399611</xdr:colOff>
      <xdr:row>15</xdr:row>
      <xdr:rowOff>177727</xdr:rowOff>
    </xdr:from>
    <xdr:to>
      <xdr:col>25</xdr:col>
      <xdr:colOff>109482</xdr:colOff>
      <xdr:row>20</xdr:row>
      <xdr:rowOff>54741</xdr:rowOff>
    </xdr:to>
    <mc:AlternateContent xmlns:mc="http://schemas.openxmlformats.org/markup-compatibility/2006" xmlns:a14="http://schemas.microsoft.com/office/drawing/2010/main">
      <mc:Choice Requires="a14">
        <xdr:graphicFrame macro="">
          <xdr:nvGraphicFramePr>
            <xdr:cNvPr id="17" name="Shipping carriers 1">
              <a:extLst>
                <a:ext uri="{FF2B5EF4-FFF2-40B4-BE49-F238E27FC236}">
                  <a16:creationId xmlns:a16="http://schemas.microsoft.com/office/drawing/2014/main" id="{A5C455B1-78C6-4E6D-BAB0-A39AAA2FA7C7}"/>
                </a:ext>
              </a:extLst>
            </xdr:cNvPr>
            <xdr:cNvGraphicFramePr/>
          </xdr:nvGraphicFramePr>
          <xdr:xfrm>
            <a:off x="0" y="0"/>
            <a:ext cx="0" cy="0"/>
          </xdr:xfrm>
          <a:graphic>
            <a:graphicData uri="http://schemas.microsoft.com/office/drawing/2010/slicer">
              <sle:slicer xmlns:sle="http://schemas.microsoft.com/office/drawing/2010/slicer" name="Shipping carriers 1"/>
            </a:graphicData>
          </a:graphic>
        </xdr:graphicFrame>
      </mc:Choice>
      <mc:Fallback xmlns="">
        <xdr:sp macro="" textlink="">
          <xdr:nvSpPr>
            <xdr:cNvPr id="0" name=""/>
            <xdr:cNvSpPr>
              <a:spLocks noTextEdit="1"/>
            </xdr:cNvSpPr>
          </xdr:nvSpPr>
          <xdr:spPr>
            <a:xfrm>
              <a:off x="12661680" y="2969537"/>
              <a:ext cx="2775388" cy="807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465301</xdr:colOff>
      <xdr:row>24</xdr:row>
      <xdr:rowOff>24451</xdr:rowOff>
    </xdr:from>
    <xdr:to>
      <xdr:col>25</xdr:col>
      <xdr:colOff>153276</xdr:colOff>
      <xdr:row>28</xdr:row>
      <xdr:rowOff>120431</xdr:rowOff>
    </xdr:to>
    <mc:AlternateContent xmlns:mc="http://schemas.openxmlformats.org/markup-compatibility/2006" xmlns:a14="http://schemas.microsoft.com/office/drawing/2010/main">
      <mc:Choice Requires="a14">
        <xdr:graphicFrame macro="">
          <xdr:nvGraphicFramePr>
            <xdr:cNvPr id="18" name="Routes 1">
              <a:extLst>
                <a:ext uri="{FF2B5EF4-FFF2-40B4-BE49-F238E27FC236}">
                  <a16:creationId xmlns:a16="http://schemas.microsoft.com/office/drawing/2014/main" id="{6082EB44-EC74-4E33-BFC1-170BD493566F}"/>
                </a:ext>
              </a:extLst>
            </xdr:cNvPr>
            <xdr:cNvGraphicFramePr/>
          </xdr:nvGraphicFramePr>
          <xdr:xfrm>
            <a:off x="0" y="0"/>
            <a:ext cx="0" cy="0"/>
          </xdr:xfrm>
          <a:graphic>
            <a:graphicData uri="http://schemas.microsoft.com/office/drawing/2010/slicer">
              <sle:slicer xmlns:sle="http://schemas.microsoft.com/office/drawing/2010/slicer" name="Routes 1"/>
            </a:graphicData>
          </a:graphic>
        </xdr:graphicFrame>
      </mc:Choice>
      <mc:Fallback xmlns="">
        <xdr:sp macro="" textlink="">
          <xdr:nvSpPr>
            <xdr:cNvPr id="0" name=""/>
            <xdr:cNvSpPr>
              <a:spLocks noTextEdit="1"/>
            </xdr:cNvSpPr>
          </xdr:nvSpPr>
          <xdr:spPr>
            <a:xfrm>
              <a:off x="12727370" y="4491348"/>
              <a:ext cx="2753492" cy="840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481724</xdr:colOff>
      <xdr:row>18</xdr:row>
      <xdr:rowOff>109483</xdr:rowOff>
    </xdr:from>
    <xdr:to>
      <xdr:col>19</xdr:col>
      <xdr:colOff>229913</xdr:colOff>
      <xdr:row>32</xdr:row>
      <xdr:rowOff>109483</xdr:rowOff>
    </xdr:to>
    <xdr:graphicFrame macro="">
      <xdr:nvGraphicFramePr>
        <xdr:cNvPr id="19" name="Chart 18">
          <a:extLst>
            <a:ext uri="{FF2B5EF4-FFF2-40B4-BE49-F238E27FC236}">
              <a16:creationId xmlns:a16="http://schemas.microsoft.com/office/drawing/2014/main" id="{B0B2A283-A996-4CBA-AD7F-8A3A23363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10947</xdr:colOff>
          <xdr:row>18</xdr:row>
          <xdr:rowOff>98535</xdr:rowOff>
        </xdr:from>
        <xdr:to>
          <xdr:col>11</xdr:col>
          <xdr:colOff>317500</xdr:colOff>
          <xdr:row>32</xdr:row>
          <xdr:rowOff>131379</xdr:rowOff>
        </xdr:to>
        <xdr:pic>
          <xdr:nvPicPr>
            <xdr:cNvPr id="16" name="Picture 15">
              <a:extLst>
                <a:ext uri="{FF2B5EF4-FFF2-40B4-BE49-F238E27FC236}">
                  <a16:creationId xmlns:a16="http://schemas.microsoft.com/office/drawing/2014/main" id="{18A028C0-B15A-2C78-0004-7B5A37922885}"/>
                </a:ext>
              </a:extLst>
            </xdr:cNvPr>
            <xdr:cNvPicPr>
              <a:picLocks noChangeAspect="1" noChangeArrowheads="1"/>
              <a:extLst>
                <a:ext uri="{84589F7E-364E-4C9E-8A38-B11213B215E9}">
                  <a14:cameraTool cellRange="'Inventory_&amp;_Orders_Pivot'!$K$31:$N$43" spid="_x0000_s5270"/>
                </a:ext>
              </a:extLst>
            </xdr:cNvPicPr>
          </xdr:nvPicPr>
          <xdr:blipFill>
            <a:blip xmlns:r="http://schemas.openxmlformats.org/officeDocument/2006/relationships" r:embed="rId4"/>
            <a:srcRect/>
            <a:stretch>
              <a:fillRect/>
            </a:stretch>
          </xdr:blipFill>
          <xdr:spPr bwMode="auto">
            <a:xfrm>
              <a:off x="2463361" y="3448707"/>
              <a:ext cx="4598277" cy="263853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514569</xdr:colOff>
      <xdr:row>3</xdr:row>
      <xdr:rowOff>120431</xdr:rowOff>
    </xdr:from>
    <xdr:to>
      <xdr:col>19</xdr:col>
      <xdr:colOff>208017</xdr:colOff>
      <xdr:row>18</xdr:row>
      <xdr:rowOff>10948</xdr:rowOff>
    </xdr:to>
    <xdr:graphicFrame macro="">
      <xdr:nvGraphicFramePr>
        <xdr:cNvPr id="8" name="Chart 7">
          <a:extLst>
            <a:ext uri="{FF2B5EF4-FFF2-40B4-BE49-F238E27FC236}">
              <a16:creationId xmlns:a16="http://schemas.microsoft.com/office/drawing/2014/main" id="{819868CF-8ABD-4277-93B9-9EAC4E645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238125</xdr:colOff>
      <xdr:row>1</xdr:row>
      <xdr:rowOff>47624</xdr:rowOff>
    </xdr:from>
    <xdr:to>
      <xdr:col>5</xdr:col>
      <xdr:colOff>371475</xdr:colOff>
      <xdr:row>33</xdr:row>
      <xdr:rowOff>190499</xdr:rowOff>
    </xdr:to>
    <xdr:sp macro="" textlink="">
      <xdr:nvSpPr>
        <xdr:cNvPr id="3" name="Rectangle: Single Corner Rounded 2">
          <a:extLst>
            <a:ext uri="{FF2B5EF4-FFF2-40B4-BE49-F238E27FC236}">
              <a16:creationId xmlns:a16="http://schemas.microsoft.com/office/drawing/2014/main" id="{24B9E9D3-9D21-3FF7-B252-D96C71E914DE}"/>
            </a:ext>
          </a:extLst>
        </xdr:cNvPr>
        <xdr:cNvSpPr/>
      </xdr:nvSpPr>
      <xdr:spPr>
        <a:xfrm>
          <a:off x="238125" y="238124"/>
          <a:ext cx="3169444" cy="6238875"/>
        </a:xfrm>
        <a:prstGeom prst="round1Rect">
          <a:avLst/>
        </a:prstGeom>
        <a:solidFill>
          <a:schemeClr val="accent1">
            <a:lumMod val="40000"/>
            <a:lumOff val="60000"/>
          </a:schemeClr>
        </a:solidFill>
        <a:ln w="285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effectLst/>
            </a:rPr>
            <a:t> </a:t>
          </a:r>
          <a:endParaRPr lang="en-IN" sz="1100">
            <a:solidFill>
              <a:schemeClr val="tx1"/>
            </a:solidFill>
          </a:endParaRPr>
        </a:p>
      </xdr:txBody>
    </xdr:sp>
    <xdr:clientData/>
  </xdr:twoCellAnchor>
  <xdr:twoCellAnchor editAs="oneCell">
    <xdr:from>
      <xdr:col>1</xdr:col>
      <xdr:colOff>247650</xdr:colOff>
      <xdr:row>1</xdr:row>
      <xdr:rowOff>180975</xdr:rowOff>
    </xdr:from>
    <xdr:to>
      <xdr:col>4</xdr:col>
      <xdr:colOff>252044</xdr:colOff>
      <xdr:row>5</xdr:row>
      <xdr:rowOff>161925</xdr:rowOff>
    </xdr:to>
    <xdr:pic>
      <xdr:nvPicPr>
        <xdr:cNvPr id="4" name="Picture 3">
          <a:extLst>
            <a:ext uri="{FF2B5EF4-FFF2-40B4-BE49-F238E27FC236}">
              <a16:creationId xmlns:a16="http://schemas.microsoft.com/office/drawing/2014/main" id="{048EC91D-EA25-46AC-8750-BBE17242A350}"/>
            </a:ext>
          </a:extLst>
        </xdr:cNvPr>
        <xdr:cNvPicPr>
          <a:picLocks noChangeAspect="1"/>
        </xdr:cNvPicPr>
      </xdr:nvPicPr>
      <xdr:blipFill>
        <a:blip xmlns:r="http://schemas.openxmlformats.org/officeDocument/2006/relationships" r:embed="rId1"/>
        <a:stretch>
          <a:fillRect/>
        </a:stretch>
      </xdr:blipFill>
      <xdr:spPr>
        <a:xfrm>
          <a:off x="857250" y="371475"/>
          <a:ext cx="1833194" cy="742950"/>
        </a:xfrm>
        <a:prstGeom prst="rect">
          <a:avLst/>
        </a:prstGeom>
      </xdr:spPr>
    </xdr:pic>
    <xdr:clientData/>
  </xdr:twoCellAnchor>
  <xdr:oneCellAnchor>
    <xdr:from>
      <xdr:col>9</xdr:col>
      <xdr:colOff>56093</xdr:colOff>
      <xdr:row>1</xdr:row>
      <xdr:rowOff>18522</xdr:rowOff>
    </xdr:from>
    <xdr:ext cx="5810249" cy="505203"/>
    <xdr:sp macro="" textlink="">
      <xdr:nvSpPr>
        <xdr:cNvPr id="5" name="TextBox 4">
          <a:extLst>
            <a:ext uri="{FF2B5EF4-FFF2-40B4-BE49-F238E27FC236}">
              <a16:creationId xmlns:a16="http://schemas.microsoft.com/office/drawing/2014/main" id="{3B34B8DE-38F5-C267-4C27-2F4D3F29D70C}"/>
            </a:ext>
          </a:extLst>
        </xdr:cNvPr>
        <xdr:cNvSpPr txBox="1"/>
      </xdr:nvSpPr>
      <xdr:spPr>
        <a:xfrm>
          <a:off x="5521062" y="209022"/>
          <a:ext cx="5810249"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2800" b="1" cap="none" spc="0">
              <a:ln/>
              <a:solidFill>
                <a:srgbClr val="0070C0"/>
              </a:solidFill>
              <a:effectLst/>
              <a:latin typeface="Times New Roman" panose="02020603050405020304" pitchFamily="18" charset="0"/>
              <a:cs typeface="Times New Roman" panose="02020603050405020304" pitchFamily="18" charset="0"/>
            </a:rPr>
            <a:t>Supplier/Manufacturing Dashboard</a:t>
          </a:r>
        </a:p>
      </xdr:txBody>
    </xdr:sp>
    <xdr:clientData/>
  </xdr:oneCellAnchor>
  <xdr:twoCellAnchor>
    <xdr:from>
      <xdr:col>14</xdr:col>
      <xdr:colOff>85987</xdr:colOff>
      <xdr:row>19</xdr:row>
      <xdr:rowOff>178594</xdr:rowOff>
    </xdr:from>
    <xdr:to>
      <xdr:col>21</xdr:col>
      <xdr:colOff>510646</xdr:colOff>
      <xdr:row>34</xdr:row>
      <xdr:rowOff>62178</xdr:rowOff>
    </xdr:to>
    <xdr:graphicFrame macro="">
      <xdr:nvGraphicFramePr>
        <xdr:cNvPr id="2" name="Chart 1">
          <a:extLst>
            <a:ext uri="{FF2B5EF4-FFF2-40B4-BE49-F238E27FC236}">
              <a16:creationId xmlns:a16="http://schemas.microsoft.com/office/drawing/2014/main" id="{0851A41D-66DC-4898-8944-6397D4649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74081</xdr:colOff>
      <xdr:row>4</xdr:row>
      <xdr:rowOff>150813</xdr:rowOff>
    </xdr:from>
    <xdr:to>
      <xdr:col>21</xdr:col>
      <xdr:colOff>523609</xdr:colOff>
      <xdr:row>19</xdr:row>
      <xdr:rowOff>36513</xdr:rowOff>
    </xdr:to>
    <xdr:graphicFrame macro="">
      <xdr:nvGraphicFramePr>
        <xdr:cNvPr id="6" name="Chart 5">
          <a:extLst>
            <a:ext uri="{FF2B5EF4-FFF2-40B4-BE49-F238E27FC236}">
              <a16:creationId xmlns:a16="http://schemas.microsoft.com/office/drawing/2014/main" id="{34034C2E-381D-4851-BA6A-4FE1EC6E4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104510</xdr:colOff>
      <xdr:row>19</xdr:row>
      <xdr:rowOff>189177</xdr:rowOff>
    </xdr:from>
    <xdr:to>
      <xdr:col>13</xdr:col>
      <xdr:colOff>390261</xdr:colOff>
      <xdr:row>34</xdr:row>
      <xdr:rowOff>19842</xdr:rowOff>
    </xdr:to>
    <xdr:graphicFrame macro="">
      <xdr:nvGraphicFramePr>
        <xdr:cNvPr id="7" name="Chart 6">
          <a:extLst>
            <a:ext uri="{FF2B5EF4-FFF2-40B4-BE49-F238E27FC236}">
              <a16:creationId xmlns:a16="http://schemas.microsoft.com/office/drawing/2014/main" id="{073AA7BA-549A-445B-A3E3-661F7E034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117739</xdr:colOff>
      <xdr:row>4</xdr:row>
      <xdr:rowOff>137583</xdr:rowOff>
    </xdr:from>
    <xdr:to>
      <xdr:col>13</xdr:col>
      <xdr:colOff>392906</xdr:colOff>
      <xdr:row>19</xdr:row>
      <xdr:rowOff>23283</xdr:rowOff>
    </xdr:to>
    <xdr:graphicFrame macro="">
      <xdr:nvGraphicFramePr>
        <xdr:cNvPr id="8" name="Chart 7">
          <a:extLst>
            <a:ext uri="{FF2B5EF4-FFF2-40B4-BE49-F238E27FC236}">
              <a16:creationId xmlns:a16="http://schemas.microsoft.com/office/drawing/2014/main" id="{D5B9AAFA-1E05-40B5-A72B-F2D3CF514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35718</xdr:colOff>
      <xdr:row>7</xdr:row>
      <xdr:rowOff>107155</xdr:rowOff>
    </xdr:from>
    <xdr:to>
      <xdr:col>4</xdr:col>
      <xdr:colOff>357187</xdr:colOff>
      <xdr:row>11</xdr:row>
      <xdr:rowOff>142874</xdr:rowOff>
    </xdr:to>
    <xdr:sp macro="" textlink="">
      <xdr:nvSpPr>
        <xdr:cNvPr id="12" name="TextBox 11">
          <a:extLst>
            <a:ext uri="{FF2B5EF4-FFF2-40B4-BE49-F238E27FC236}">
              <a16:creationId xmlns:a16="http://schemas.microsoft.com/office/drawing/2014/main" id="{BA7654C6-520B-D9F1-116D-6F174CC65FD5}"/>
            </a:ext>
          </a:extLst>
        </xdr:cNvPr>
        <xdr:cNvSpPr txBox="1"/>
      </xdr:nvSpPr>
      <xdr:spPr>
        <a:xfrm>
          <a:off x="642937" y="1440655"/>
          <a:ext cx="2143125" cy="797719"/>
        </a:xfrm>
        <a:prstGeom prst="rect">
          <a:avLst/>
        </a:prstGeom>
        <a:solidFill>
          <a:schemeClr val="accent2">
            <a:lumMod val="40000"/>
            <a:lumOff val="6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Times New Roman" panose="02020603050405020304" pitchFamily="18" charset="0"/>
              <a:ea typeface="+mn-ea"/>
              <a:cs typeface="Times New Roman" panose="02020603050405020304" pitchFamily="18" charset="0"/>
            </a:rPr>
            <a:t>Defect Rate</a:t>
          </a:r>
        </a:p>
        <a:p>
          <a:pPr algn="ctr"/>
          <a:r>
            <a:rPr lang="en-IN" sz="1800" b="1" i="0" u="none" strike="noStrike">
              <a:solidFill>
                <a:schemeClr val="dk1"/>
              </a:solidFill>
              <a:effectLst/>
              <a:latin typeface="Times New Roman" panose="02020603050405020304" pitchFamily="18" charset="0"/>
              <a:ea typeface="+mn-ea"/>
              <a:cs typeface="Times New Roman" panose="02020603050405020304" pitchFamily="18" charset="0"/>
            </a:rPr>
            <a:t>2.36</a:t>
          </a:r>
          <a:r>
            <a:rPr lang="en-IN" sz="1800">
              <a:effectLst/>
            </a:rPr>
            <a:t> </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xdr:col>
      <xdr:colOff>35718</xdr:colOff>
      <xdr:row>14</xdr:row>
      <xdr:rowOff>23813</xdr:rowOff>
    </xdr:from>
    <xdr:to>
      <xdr:col>4</xdr:col>
      <xdr:colOff>369093</xdr:colOff>
      <xdr:row>18</xdr:row>
      <xdr:rowOff>35719</xdr:rowOff>
    </xdr:to>
    <xdr:sp macro="" textlink="">
      <xdr:nvSpPr>
        <xdr:cNvPr id="13" name="TextBox 12">
          <a:extLst>
            <a:ext uri="{FF2B5EF4-FFF2-40B4-BE49-F238E27FC236}">
              <a16:creationId xmlns:a16="http://schemas.microsoft.com/office/drawing/2014/main" id="{C9932529-05D7-D77F-673F-0BF12345513F}"/>
            </a:ext>
          </a:extLst>
        </xdr:cNvPr>
        <xdr:cNvSpPr txBox="1"/>
      </xdr:nvSpPr>
      <xdr:spPr>
        <a:xfrm>
          <a:off x="642937" y="2690813"/>
          <a:ext cx="2155031" cy="773906"/>
        </a:xfrm>
        <a:prstGeom prst="rect">
          <a:avLst/>
        </a:prstGeom>
        <a:solidFill>
          <a:schemeClr val="accent2">
            <a:lumMod val="40000"/>
            <a:lumOff val="6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Times New Roman" panose="02020603050405020304" pitchFamily="18" charset="0"/>
              <a:ea typeface="+mn-ea"/>
              <a:cs typeface="Times New Roman" panose="02020603050405020304" pitchFamily="18" charset="0"/>
            </a:rPr>
            <a:t>Pass % of Total Items</a:t>
          </a:r>
          <a:endParaRPr lang="en-IN" sz="1400" b="1">
            <a:effectLst/>
            <a:latin typeface="Times New Roman" panose="02020603050405020304" pitchFamily="18" charset="0"/>
            <a:cs typeface="Times New Roman" panose="02020603050405020304" pitchFamily="18" charset="0"/>
          </a:endParaRPr>
        </a:p>
        <a:p>
          <a:pPr algn="ctr"/>
          <a:r>
            <a:rPr lang="en-IN" sz="1800" b="1" i="0" u="none" strike="noStrike">
              <a:solidFill>
                <a:schemeClr val="dk1"/>
              </a:solidFill>
              <a:effectLst/>
              <a:latin typeface="Times New Roman" panose="02020603050405020304" pitchFamily="18" charset="0"/>
              <a:ea typeface="+mn-ea"/>
              <a:cs typeface="Times New Roman" panose="02020603050405020304" pitchFamily="18" charset="0"/>
            </a:rPr>
            <a:t>23.00%</a:t>
          </a:r>
          <a:r>
            <a:rPr lang="en-IN" sz="1800" b="1">
              <a:effectLst/>
              <a:latin typeface="Times New Roman" panose="02020603050405020304" pitchFamily="18" charset="0"/>
              <a:cs typeface="Times New Roman" panose="02020603050405020304" pitchFamily="18" charset="0"/>
            </a:rPr>
            <a:t> </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xdr:col>
      <xdr:colOff>35718</xdr:colOff>
      <xdr:row>20</xdr:row>
      <xdr:rowOff>107155</xdr:rowOff>
    </xdr:from>
    <xdr:to>
      <xdr:col>4</xdr:col>
      <xdr:colOff>369093</xdr:colOff>
      <xdr:row>24</xdr:row>
      <xdr:rowOff>178593</xdr:rowOff>
    </xdr:to>
    <xdr:sp macro="" textlink="">
      <xdr:nvSpPr>
        <xdr:cNvPr id="16" name="TextBox 15">
          <a:extLst>
            <a:ext uri="{FF2B5EF4-FFF2-40B4-BE49-F238E27FC236}">
              <a16:creationId xmlns:a16="http://schemas.microsoft.com/office/drawing/2014/main" id="{F3C7C45D-FC34-A3B8-61AF-099F3D97F29A}"/>
            </a:ext>
          </a:extLst>
        </xdr:cNvPr>
        <xdr:cNvSpPr txBox="1"/>
      </xdr:nvSpPr>
      <xdr:spPr>
        <a:xfrm>
          <a:off x="642937" y="3917155"/>
          <a:ext cx="2155031" cy="833438"/>
        </a:xfrm>
        <a:prstGeom prst="rect">
          <a:avLst/>
        </a:prstGeom>
        <a:solidFill>
          <a:schemeClr val="accent2">
            <a:lumMod val="40000"/>
            <a:lumOff val="6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Production Cost Per Unit  </a:t>
          </a:r>
        </a:p>
        <a:p>
          <a:pPr algn="ctr"/>
          <a:r>
            <a:rPr lang="en-IN" sz="1800" b="1" i="0" u="none" strike="noStrike">
              <a:solidFill>
                <a:schemeClr val="dk1"/>
              </a:solidFill>
              <a:effectLst/>
              <a:latin typeface="Times New Roman" panose="02020603050405020304" pitchFamily="18" charset="0"/>
              <a:ea typeface="+mn-ea"/>
              <a:cs typeface="Times New Roman" panose="02020603050405020304" pitchFamily="18" charset="0"/>
            </a:rPr>
            <a:t>₹  0.08 </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xdr:col>
      <xdr:colOff>23812</xdr:colOff>
      <xdr:row>27</xdr:row>
      <xdr:rowOff>11906</xdr:rowOff>
    </xdr:from>
    <xdr:to>
      <xdr:col>4</xdr:col>
      <xdr:colOff>369094</xdr:colOff>
      <xdr:row>31</xdr:row>
      <xdr:rowOff>154781</xdr:rowOff>
    </xdr:to>
    <xdr:sp macro="" textlink="">
      <xdr:nvSpPr>
        <xdr:cNvPr id="17" name="TextBox 16">
          <a:extLst>
            <a:ext uri="{FF2B5EF4-FFF2-40B4-BE49-F238E27FC236}">
              <a16:creationId xmlns:a16="http://schemas.microsoft.com/office/drawing/2014/main" id="{B670D27B-E1A2-AF1A-B33B-F717F76181E5}"/>
            </a:ext>
          </a:extLst>
        </xdr:cNvPr>
        <xdr:cNvSpPr txBox="1"/>
      </xdr:nvSpPr>
      <xdr:spPr>
        <a:xfrm>
          <a:off x="631031" y="5155406"/>
          <a:ext cx="2166938" cy="904875"/>
        </a:xfrm>
        <a:prstGeom prst="rect">
          <a:avLst/>
        </a:prstGeom>
        <a:solidFill>
          <a:schemeClr val="accent2">
            <a:lumMod val="40000"/>
            <a:lumOff val="60000"/>
          </a:schemeClr>
        </a:solidFill>
        <a:ln w="2857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Times New Roman" panose="02020603050405020304" pitchFamily="18" charset="0"/>
              <a:cs typeface="Times New Roman" panose="02020603050405020304" pitchFamily="18" charset="0"/>
            </a:rPr>
            <a:t>Manufacturing Efficiency</a:t>
          </a:r>
        </a:p>
        <a:p>
          <a:pPr algn="ctr"/>
          <a:r>
            <a:rPr lang="en-IN" sz="1000" b="1">
              <a:latin typeface="Times New Roman" panose="02020603050405020304" pitchFamily="18" charset="0"/>
              <a:cs typeface="Times New Roman" panose="02020603050405020304" pitchFamily="18" charset="0"/>
            </a:rPr>
            <a:t>Target ≥ 0.030 (~33 min/unit)</a:t>
          </a:r>
          <a:endParaRPr lang="en-IN" sz="1000" b="1" i="0" u="none" strike="noStrike">
            <a:solidFill>
              <a:schemeClr val="dk1"/>
            </a:solidFill>
            <a:effectLst/>
            <a:latin typeface="Times New Roman" panose="02020603050405020304" pitchFamily="18" charset="0"/>
            <a:ea typeface="+mn-ea"/>
            <a:cs typeface="Times New Roman" panose="02020603050405020304" pitchFamily="18" charset="0"/>
          </a:endParaRPr>
        </a:p>
        <a:p>
          <a:pPr algn="ctr"/>
          <a:r>
            <a:rPr lang="en-IN" sz="1600" b="1" i="0" u="none" strike="noStrike">
              <a:solidFill>
                <a:schemeClr val="dk1"/>
              </a:solidFill>
              <a:effectLst/>
              <a:latin typeface="Times New Roman" panose="02020603050405020304" pitchFamily="18" charset="0"/>
              <a:ea typeface="+mn-ea"/>
              <a:cs typeface="Times New Roman" panose="02020603050405020304" pitchFamily="18" charset="0"/>
            </a:rPr>
            <a:t>0.026010848 ~</a:t>
          </a:r>
          <a:r>
            <a:rPr lang="en-IN" sz="1600" b="1"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IN" sz="1600" b="1" i="0" u="none" strike="noStrike" baseline="0">
              <a:solidFill>
                <a:srgbClr val="FF0000"/>
              </a:solidFill>
              <a:effectLst/>
              <a:latin typeface="Times New Roman" panose="02020603050405020304" pitchFamily="18" charset="0"/>
              <a:ea typeface="+mn-ea"/>
              <a:cs typeface="Times New Roman" panose="02020603050405020304" pitchFamily="18" charset="0"/>
            </a:rPr>
            <a:t>37 min</a:t>
          </a:r>
          <a:r>
            <a:rPr lang="en-IN" sz="1600" b="1">
              <a:solidFill>
                <a:srgbClr val="FF0000"/>
              </a:solidFill>
              <a:effectLst/>
              <a:latin typeface="Times New Roman" panose="02020603050405020304" pitchFamily="18" charset="0"/>
              <a:cs typeface="Times New Roman" panose="02020603050405020304" pitchFamily="18" charset="0"/>
            </a:rPr>
            <a:t> </a:t>
          </a:r>
          <a:endParaRPr lang="en-IN" sz="16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22</xdr:col>
      <xdr:colOff>127001</xdr:colOff>
      <xdr:row>4</xdr:row>
      <xdr:rowOff>158750</xdr:rowOff>
    </xdr:from>
    <xdr:to>
      <xdr:col>25</xdr:col>
      <xdr:colOff>114301</xdr:colOff>
      <xdr:row>14</xdr:row>
      <xdr:rowOff>74083</xdr:rowOff>
    </xdr:to>
    <mc:AlternateContent xmlns:mc="http://schemas.openxmlformats.org/markup-compatibility/2006" xmlns:a14="http://schemas.microsoft.com/office/drawing/2010/main">
      <mc:Choice Requires="a14">
        <xdr:graphicFrame macro="">
          <xdr:nvGraphicFramePr>
            <xdr:cNvPr id="14" name="Supplier name 1">
              <a:extLst>
                <a:ext uri="{FF2B5EF4-FFF2-40B4-BE49-F238E27FC236}">
                  <a16:creationId xmlns:a16="http://schemas.microsoft.com/office/drawing/2014/main" id="{772E4729-AD4B-4C35-9854-7AD488226475}"/>
                </a:ext>
              </a:extLst>
            </xdr:cNvPr>
            <xdr:cNvGraphicFramePr/>
          </xdr:nvGraphicFramePr>
          <xdr:xfrm>
            <a:off x="0" y="0"/>
            <a:ext cx="0" cy="0"/>
          </xdr:xfrm>
          <a:graphic>
            <a:graphicData uri="http://schemas.microsoft.com/office/drawing/2010/slicer">
              <sle:slicer xmlns:sle="http://schemas.microsoft.com/office/drawing/2010/slicer" name="Supplier name 1"/>
            </a:graphicData>
          </a:graphic>
        </xdr:graphicFrame>
      </mc:Choice>
      <mc:Fallback xmlns="">
        <xdr:sp macro="" textlink="">
          <xdr:nvSpPr>
            <xdr:cNvPr id="0" name=""/>
            <xdr:cNvSpPr>
              <a:spLocks noTextEdit="1"/>
            </xdr:cNvSpPr>
          </xdr:nvSpPr>
          <xdr:spPr>
            <a:xfrm>
              <a:off x="13631334" y="920750"/>
              <a:ext cx="1828800" cy="1820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169334</xdr:colOff>
      <xdr:row>17</xdr:row>
      <xdr:rowOff>158751</xdr:rowOff>
    </xdr:from>
    <xdr:to>
      <xdr:col>25</xdr:col>
      <xdr:colOff>156634</xdr:colOff>
      <xdr:row>23</xdr:row>
      <xdr:rowOff>63501</xdr:rowOff>
    </xdr:to>
    <mc:AlternateContent xmlns:mc="http://schemas.openxmlformats.org/markup-compatibility/2006" xmlns:a14="http://schemas.microsoft.com/office/drawing/2010/main">
      <mc:Choice Requires="a14">
        <xdr:graphicFrame macro="">
          <xdr:nvGraphicFramePr>
            <xdr:cNvPr id="15" name="Transportation modes 1">
              <a:extLst>
                <a:ext uri="{FF2B5EF4-FFF2-40B4-BE49-F238E27FC236}">
                  <a16:creationId xmlns:a16="http://schemas.microsoft.com/office/drawing/2014/main" id="{5FBA2334-D88D-498D-9C44-55DD7CDD8E74}"/>
                </a:ext>
              </a:extLst>
            </xdr:cNvPr>
            <xdr:cNvGraphicFramePr/>
          </xdr:nvGraphicFramePr>
          <xdr:xfrm>
            <a:off x="0" y="0"/>
            <a:ext cx="0" cy="0"/>
          </xdr:xfrm>
          <a:graphic>
            <a:graphicData uri="http://schemas.microsoft.com/office/drawing/2010/slicer">
              <sle:slicer xmlns:sle="http://schemas.microsoft.com/office/drawing/2010/slicer" name="Transportation modes 1"/>
            </a:graphicData>
          </a:graphic>
        </xdr:graphicFrame>
      </mc:Choice>
      <mc:Fallback xmlns="">
        <xdr:sp macro="" textlink="">
          <xdr:nvSpPr>
            <xdr:cNvPr id="0" name=""/>
            <xdr:cNvSpPr>
              <a:spLocks noTextEdit="1"/>
            </xdr:cNvSpPr>
          </xdr:nvSpPr>
          <xdr:spPr>
            <a:xfrm>
              <a:off x="13673667" y="3397251"/>
              <a:ext cx="18288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201084</xdr:colOff>
      <xdr:row>26</xdr:row>
      <xdr:rowOff>84667</xdr:rowOff>
    </xdr:from>
    <xdr:to>
      <xdr:col>25</xdr:col>
      <xdr:colOff>188384</xdr:colOff>
      <xdr:row>34</xdr:row>
      <xdr:rowOff>52917</xdr:rowOff>
    </xdr:to>
    <mc:AlternateContent xmlns:mc="http://schemas.openxmlformats.org/markup-compatibility/2006" xmlns:a14="http://schemas.microsoft.com/office/drawing/2010/main">
      <mc:Choice Requires="a14">
        <xdr:graphicFrame macro="">
          <xdr:nvGraphicFramePr>
            <xdr:cNvPr id="18" name="Inspection results 1">
              <a:extLst>
                <a:ext uri="{FF2B5EF4-FFF2-40B4-BE49-F238E27FC236}">
                  <a16:creationId xmlns:a16="http://schemas.microsoft.com/office/drawing/2014/main" id="{4D4E45E9-8161-4710-85FC-ABFA2DE260B6}"/>
                </a:ext>
              </a:extLst>
            </xdr:cNvPr>
            <xdr:cNvGraphicFramePr/>
          </xdr:nvGraphicFramePr>
          <xdr:xfrm>
            <a:off x="0" y="0"/>
            <a:ext cx="0" cy="0"/>
          </xdr:xfrm>
          <a:graphic>
            <a:graphicData uri="http://schemas.microsoft.com/office/drawing/2010/slicer">
              <sle:slicer xmlns:sle="http://schemas.microsoft.com/office/drawing/2010/slicer" name="Inspection results 1"/>
            </a:graphicData>
          </a:graphic>
        </xdr:graphicFrame>
      </mc:Choice>
      <mc:Fallback xmlns="">
        <xdr:sp macro="" textlink="">
          <xdr:nvSpPr>
            <xdr:cNvPr id="0" name=""/>
            <xdr:cNvSpPr>
              <a:spLocks noTextEdit="1"/>
            </xdr:cNvSpPr>
          </xdr:nvSpPr>
          <xdr:spPr>
            <a:xfrm>
              <a:off x="13705417" y="5037667"/>
              <a:ext cx="1828800" cy="149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610602</xdr:colOff>
      <xdr:row>1</xdr:row>
      <xdr:rowOff>46121</xdr:rowOff>
    </xdr:from>
    <xdr:to>
      <xdr:col>23</xdr:col>
      <xdr:colOff>151398</xdr:colOff>
      <xdr:row>7</xdr:row>
      <xdr:rowOff>160421</xdr:rowOff>
    </xdr:to>
    <xdr:sp macro="" textlink="">
      <xdr:nvSpPr>
        <xdr:cNvPr id="4" name="Rectangle: Diagonal Corners Snipped 3">
          <a:extLst>
            <a:ext uri="{FF2B5EF4-FFF2-40B4-BE49-F238E27FC236}">
              <a16:creationId xmlns:a16="http://schemas.microsoft.com/office/drawing/2014/main" id="{EF3286C1-0755-9504-04A1-5FEB31FCD14F}"/>
            </a:ext>
          </a:extLst>
        </xdr:cNvPr>
        <xdr:cNvSpPr/>
      </xdr:nvSpPr>
      <xdr:spPr>
        <a:xfrm>
          <a:off x="1833813" y="236621"/>
          <a:ext cx="12384506" cy="1257300"/>
        </a:xfrm>
        <a:prstGeom prst="snip2DiagRect">
          <a:avLst/>
        </a:prstGeom>
        <a:solidFill>
          <a:schemeClr val="accent3">
            <a:lumMod val="40000"/>
            <a:lumOff val="6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244143</xdr:colOff>
      <xdr:row>2</xdr:row>
      <xdr:rowOff>45619</xdr:rowOff>
    </xdr:from>
    <xdr:ext cx="8820150" cy="918072"/>
    <xdr:sp macro="" textlink="">
      <xdr:nvSpPr>
        <xdr:cNvPr id="5" name="TextBox 4">
          <a:extLst>
            <a:ext uri="{FF2B5EF4-FFF2-40B4-BE49-F238E27FC236}">
              <a16:creationId xmlns:a16="http://schemas.microsoft.com/office/drawing/2014/main" id="{FA2045D0-0E07-4B6B-9AE7-EAE370256E34}"/>
            </a:ext>
          </a:extLst>
        </xdr:cNvPr>
        <xdr:cNvSpPr txBox="1"/>
      </xdr:nvSpPr>
      <xdr:spPr>
        <a:xfrm>
          <a:off x="5136985" y="426619"/>
          <a:ext cx="8820150" cy="918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2800" b="1" cap="none" spc="0">
              <a:ln/>
              <a:solidFill>
                <a:schemeClr val="accent5">
                  <a:lumMod val="75000"/>
                </a:schemeClr>
              </a:solidFill>
              <a:effectLst/>
              <a:latin typeface="Times New Roman" panose="02020603050405020304" pitchFamily="18" charset="0"/>
              <a:cs typeface="Times New Roman" panose="02020603050405020304" pitchFamily="18" charset="0"/>
            </a:rPr>
            <a:t>“Operational Clarity Through MIS Dashboards”</a:t>
          </a:r>
        </a:p>
        <a:p>
          <a:pPr algn="ctr"/>
          <a:r>
            <a:rPr lang="en-IN" sz="2800" b="1" cap="none" spc="0">
              <a:ln/>
              <a:solidFill>
                <a:schemeClr val="accent6">
                  <a:lumMod val="75000"/>
                </a:schemeClr>
              </a:solidFill>
              <a:effectLst/>
              <a:latin typeface="Times New Roman" panose="02020603050405020304" pitchFamily="18" charset="0"/>
              <a:cs typeface="Times New Roman" panose="02020603050405020304" pitchFamily="18" charset="0"/>
            </a:rPr>
            <a:t>       Supply Chain Summary</a:t>
          </a:r>
        </a:p>
      </xdr:txBody>
    </xdr:sp>
    <xdr:clientData/>
  </xdr:oneCellAnchor>
  <xdr:twoCellAnchor editAs="oneCell">
    <xdr:from>
      <xdr:col>3</xdr:col>
      <xdr:colOff>379997</xdr:colOff>
      <xdr:row>1</xdr:row>
      <xdr:rowOff>122321</xdr:rowOff>
    </xdr:from>
    <xdr:to>
      <xdr:col>7</xdr:col>
      <xdr:colOff>599384</xdr:colOff>
      <xdr:row>7</xdr:row>
      <xdr:rowOff>55646</xdr:rowOff>
    </xdr:to>
    <xdr:pic>
      <xdr:nvPicPr>
        <xdr:cNvPr id="6" name="Picture 5">
          <a:extLst>
            <a:ext uri="{FF2B5EF4-FFF2-40B4-BE49-F238E27FC236}">
              <a16:creationId xmlns:a16="http://schemas.microsoft.com/office/drawing/2014/main" id="{407721EE-F5AC-4421-9A0C-246516F14624}"/>
            </a:ext>
          </a:extLst>
        </xdr:cNvPr>
        <xdr:cNvPicPr>
          <a:picLocks noChangeAspect="1"/>
        </xdr:cNvPicPr>
      </xdr:nvPicPr>
      <xdr:blipFill>
        <a:blip xmlns:r="http://schemas.openxmlformats.org/officeDocument/2006/relationships" r:embed="rId1"/>
        <a:stretch>
          <a:fillRect/>
        </a:stretch>
      </xdr:blipFill>
      <xdr:spPr>
        <a:xfrm>
          <a:off x="2214813" y="312821"/>
          <a:ext cx="2665808" cy="1076325"/>
        </a:xfrm>
        <a:prstGeom prst="rect">
          <a:avLst/>
        </a:prstGeom>
      </xdr:spPr>
    </xdr:pic>
    <xdr:clientData/>
  </xdr:twoCellAnchor>
  <xdr:twoCellAnchor>
    <xdr:from>
      <xdr:col>2</xdr:col>
      <xdr:colOff>591050</xdr:colOff>
      <xdr:row>8</xdr:row>
      <xdr:rowOff>160922</xdr:rowOff>
    </xdr:from>
    <xdr:to>
      <xdr:col>8</xdr:col>
      <xdr:colOff>255671</xdr:colOff>
      <xdr:row>19</xdr:row>
      <xdr:rowOff>51208</xdr:rowOff>
    </xdr:to>
    <xdr:graphicFrame macro="">
      <xdr:nvGraphicFramePr>
        <xdr:cNvPr id="2" name="Chart 1">
          <a:extLst>
            <a:ext uri="{FF2B5EF4-FFF2-40B4-BE49-F238E27FC236}">
              <a16:creationId xmlns:a16="http://schemas.microsoft.com/office/drawing/2014/main" id="{04779DD6-5738-44C5-83A4-60D035362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143387</xdr:colOff>
      <xdr:row>8</xdr:row>
      <xdr:rowOff>160423</xdr:rowOff>
    </xdr:from>
    <xdr:to>
      <xdr:col>23</xdr:col>
      <xdr:colOff>165652</xdr:colOff>
      <xdr:row>19</xdr:row>
      <xdr:rowOff>40967</xdr:rowOff>
    </xdr:to>
    <xdr:graphicFrame macro="">
      <xdr:nvGraphicFramePr>
        <xdr:cNvPr id="3" name="Chart 2">
          <a:extLst>
            <a:ext uri="{FF2B5EF4-FFF2-40B4-BE49-F238E27FC236}">
              <a16:creationId xmlns:a16="http://schemas.microsoft.com/office/drawing/2014/main" id="{D114A618-DB07-41CF-B4A2-5B3F8B83C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421106</xdr:colOff>
      <xdr:row>8</xdr:row>
      <xdr:rowOff>168942</xdr:rowOff>
    </xdr:from>
    <xdr:to>
      <xdr:col>15</xdr:col>
      <xdr:colOff>528016</xdr:colOff>
      <xdr:row>19</xdr:row>
      <xdr:rowOff>51208</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5C0E0E8D-ECF8-4CC3-A1FF-AFAC802E61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297906" y="1692942"/>
              <a:ext cx="4374110" cy="19777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410431</xdr:colOff>
      <xdr:row>20</xdr:row>
      <xdr:rowOff>61452</xdr:rowOff>
    </xdr:from>
    <xdr:to>
      <xdr:col>15</xdr:col>
      <xdr:colOff>528350</xdr:colOff>
      <xdr:row>31</xdr:row>
      <xdr:rowOff>35519</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DE3EA374-AC9A-4D1F-9F06-C8D04D4C8F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287231" y="3871452"/>
              <a:ext cx="4385119" cy="20695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144611</xdr:colOff>
      <xdr:row>20</xdr:row>
      <xdr:rowOff>61452</xdr:rowOff>
    </xdr:from>
    <xdr:to>
      <xdr:col>23</xdr:col>
      <xdr:colOff>184355</xdr:colOff>
      <xdr:row>31</xdr:row>
      <xdr:rowOff>40968</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EA98359-ABE0-4258-BAE2-557E61A661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898211" y="3871452"/>
              <a:ext cx="4306944" cy="20750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5972</xdr:colOff>
      <xdr:row>20</xdr:row>
      <xdr:rowOff>71694</xdr:rowOff>
    </xdr:from>
    <xdr:to>
      <xdr:col>8</xdr:col>
      <xdr:colOff>296640</xdr:colOff>
      <xdr:row>31</xdr:row>
      <xdr:rowOff>14894</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04069B96-2895-414B-9461-99E1AF6245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34772" y="3881694"/>
              <a:ext cx="3338668" cy="2038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ad" refreshedDate="46004.836210648151" createdVersion="8" refreshedVersion="8" minRefreshableVersion="3" recordCount="100" xr:uid="{95912192-133D-4EC1-ACCA-30A9D2129095}">
  <cacheSource type="worksheet">
    <worksheetSource name="supply_chain_data3"/>
  </cacheSource>
  <cacheFields count="26">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164">
      <sharedItems containsSemiMixedTypes="0" containsString="0" containsNumber="1" minValue="1.7" maxValue="99.171300000000002"/>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64">
      <sharedItems containsSemiMixedTypes="0" containsString="0" containsNumber="1" minValue="1061.618523013288" maxValue="9866.4654579796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164">
      <sharedItems containsSemiMixedTypes="0" containsString="0" containsNumber="1" minValue="1.0134865660958963" maxValue="9.9298162452772587"/>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164">
      <sharedItems containsSemiMixedTypes="0" containsString="0" containsNumber="1" minValue="1.0851" maxValue="99.466099999999997"/>
    </cacheField>
    <cacheField name="Inspection results" numFmtId="0">
      <sharedItems count="3">
        <s v="Pending"/>
        <s v="Fail"/>
        <s v="Pass"/>
      </sharedItems>
    </cacheField>
    <cacheField name="Defect rates" numFmtId="0">
      <sharedItems containsSemiMixedTypes="0" containsString="0" containsNumber="1" minValue="1.8607567631014899E-2" maxValue="4.9392552886209478"/>
    </cacheField>
    <cacheField name="Transportation modes" numFmtId="0">
      <sharedItems count="4">
        <s v="Road"/>
        <s v="Air"/>
        <s v="Rail"/>
        <s v="Sea"/>
      </sharedItems>
    </cacheField>
    <cacheField name="Routes" numFmtId="0">
      <sharedItems count="3">
        <s v="Route B"/>
        <s v="Route C"/>
        <s v="Route A"/>
      </sharedItems>
    </cacheField>
    <cacheField name="Costs" numFmtId="164">
      <sharedItems containsSemiMixedTypes="0" containsString="0" containsNumber="1" minValue="103.9162" maxValue="997.4135"/>
    </cacheField>
    <cacheField name="Profit" numFmtId="164">
      <sharedItems containsSemiMixedTypes="0" containsString="0" containsNumber="1" minValue="739.84970041642032" maxValue="9397.0868466069969"/>
    </cacheField>
    <cacheField name="Current Inventory Count" numFmtId="2">
      <sharedItems containsSemiMixedTypes="0" containsString="0" containsNumber="1" containsInteger="1" minValue="-985" maxValue="58"/>
    </cacheField>
  </cacheFields>
  <extLst>
    <ext xmlns:x14="http://schemas.microsoft.com/office/spreadsheetml/2009/9/main" uri="{725AE2AE-9491-48be-B2B4-4EB974FC3084}">
      <x14:pivotCacheDefinition pivotCacheId="1928734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0000000007"/>
    <n v="55"/>
    <n v="802"/>
    <n v="8661.9967923923832"/>
    <x v="0"/>
    <n v="58"/>
    <n v="7"/>
    <n v="96"/>
    <n v="4"/>
    <x v="0"/>
    <n v="2.9565721394308069"/>
    <x v="0"/>
    <x v="0"/>
    <n v="29"/>
    <n v="215"/>
    <n v="29"/>
    <n v="46.279899999999998"/>
    <x v="0"/>
    <n v="0.22641036084992516"/>
    <x v="0"/>
    <x v="0"/>
    <n v="187.75210000000001"/>
    <n v="8425.008220252952"/>
    <n v="-747"/>
  </r>
  <r>
    <x v="1"/>
    <x v="1"/>
    <n v="14.843500000000001"/>
    <n v="95"/>
    <n v="736"/>
    <n v="7460.9000654458487"/>
    <x v="1"/>
    <n v="53"/>
    <n v="30"/>
    <n v="37"/>
    <n v="2"/>
    <x v="1"/>
    <n v="9.7165747714313095"/>
    <x v="0"/>
    <x v="0"/>
    <n v="23"/>
    <n v="517"/>
    <n v="30"/>
    <n v="33.616799999999998"/>
    <x v="0"/>
    <n v="4.8540680263887062"/>
    <x v="0"/>
    <x v="0"/>
    <n v="503.06560000000002"/>
    <n v="6914.5010906744174"/>
    <n v="-641"/>
  </r>
  <r>
    <x v="0"/>
    <x v="2"/>
    <n v="11.319699999999999"/>
    <n v="34"/>
    <n v="8"/>
    <n v="9577.7496258687297"/>
    <x v="2"/>
    <n v="1"/>
    <n v="10"/>
    <n v="88"/>
    <n v="2"/>
    <x v="0"/>
    <n v="8.0544792617321548"/>
    <x v="1"/>
    <x v="0"/>
    <n v="12"/>
    <n v="971"/>
    <n v="27"/>
    <n v="30.687999999999999"/>
    <x v="0"/>
    <n v="4.580592619199229"/>
    <x v="1"/>
    <x v="1"/>
    <n v="141.9203"/>
    <n v="9397.0868466069969"/>
    <n v="26"/>
  </r>
  <r>
    <x v="1"/>
    <x v="3"/>
    <n v="61.1633"/>
    <n v="68"/>
    <n v="83"/>
    <n v="7766.8364256852328"/>
    <x v="0"/>
    <n v="23"/>
    <n v="13"/>
    <n v="59"/>
    <n v="6"/>
    <x v="2"/>
    <n v="1.7295685635434288"/>
    <x v="2"/>
    <x v="1"/>
    <n v="24"/>
    <n v="937"/>
    <n v="18"/>
    <n v="35.624699999999997"/>
    <x v="1"/>
    <n v="4.7466486206477496"/>
    <x v="2"/>
    <x v="2"/>
    <n v="254.77619999999999"/>
    <n v="7474.7059571216896"/>
    <n v="-15"/>
  </r>
  <r>
    <x v="1"/>
    <x v="4"/>
    <n v="4.8055000000000003"/>
    <n v="26"/>
    <n v="871"/>
    <n v="2686.5051515674468"/>
    <x v="0"/>
    <n v="5"/>
    <n v="3"/>
    <n v="56"/>
    <n v="8"/>
    <x v="1"/>
    <n v="3.8905479158706715"/>
    <x v="1"/>
    <x v="2"/>
    <n v="5"/>
    <n v="414"/>
    <n v="3"/>
    <n v="92.065200000000004"/>
    <x v="1"/>
    <n v="3.1455795228330019"/>
    <x v="1"/>
    <x v="2"/>
    <n v="923.44060000000002"/>
    <n v="1667.1088036515762"/>
    <n v="-845"/>
  </r>
  <r>
    <x v="0"/>
    <x v="5"/>
    <n v="1.7"/>
    <n v="87"/>
    <n v="147"/>
    <n v="2828.3487459757589"/>
    <x v="0"/>
    <n v="90"/>
    <n v="27"/>
    <n v="66"/>
    <n v="3"/>
    <x v="0"/>
    <n v="4.4440988643822932"/>
    <x v="3"/>
    <x v="3"/>
    <n v="10"/>
    <n v="104"/>
    <n v="17"/>
    <n v="56.766500000000001"/>
    <x v="1"/>
    <n v="2.7791935115711617"/>
    <x v="0"/>
    <x v="2"/>
    <n v="235.46119999999999"/>
    <n v="2531.6769471113766"/>
    <n v="-60"/>
  </r>
  <r>
    <x v="1"/>
    <x v="6"/>
    <n v="4.0782999999999996"/>
    <n v="48"/>
    <n v="65"/>
    <n v="7823.4765595317367"/>
    <x v="3"/>
    <n v="11"/>
    <n v="15"/>
    <n v="58"/>
    <n v="8"/>
    <x v="2"/>
    <n v="3.8807633029520034"/>
    <x v="0"/>
    <x v="1"/>
    <n v="14"/>
    <n v="314"/>
    <n v="24"/>
    <n v="1.0851"/>
    <x v="0"/>
    <n v="1.0009106193041357"/>
    <x v="3"/>
    <x v="2"/>
    <n v="134.3691"/>
    <n v="7684.1415962287847"/>
    <n v="-17"/>
  </r>
  <r>
    <x v="2"/>
    <x v="7"/>
    <n v="42.958399999999997"/>
    <n v="59"/>
    <n v="426"/>
    <n v="8496.1038130898378"/>
    <x v="1"/>
    <n v="93"/>
    <n v="17"/>
    <n v="11"/>
    <n v="1"/>
    <x v="0"/>
    <n v="2.3483387844177805"/>
    <x v="3"/>
    <x v="3"/>
    <n v="22"/>
    <n v="564"/>
    <n v="1"/>
    <n v="99.466099999999997"/>
    <x v="1"/>
    <n v="0.39817718685065062"/>
    <x v="0"/>
    <x v="1"/>
    <n v="802.05629999999996"/>
    <n v="7592.2330743054199"/>
    <n v="-367"/>
  </r>
  <r>
    <x v="2"/>
    <x v="8"/>
    <n v="68.717600000000004"/>
    <n v="78"/>
    <n v="150"/>
    <n v="7517.363210631127"/>
    <x v="1"/>
    <n v="5"/>
    <n v="10"/>
    <n v="15"/>
    <n v="7"/>
    <x v="2"/>
    <n v="3.4047338570830266"/>
    <x v="3"/>
    <x v="0"/>
    <n v="13"/>
    <n v="769"/>
    <n v="8"/>
    <n v="11.423"/>
    <x v="0"/>
    <n v="2.7098626911099615"/>
    <x v="3"/>
    <x v="0"/>
    <n v="505.55709999999999"/>
    <n v="6996.9783767740437"/>
    <n v="-72"/>
  </r>
  <r>
    <x v="1"/>
    <x v="9"/>
    <n v="64.015699999999995"/>
    <n v="35"/>
    <n v="980"/>
    <n v="4971.145987585558"/>
    <x v="2"/>
    <n v="14"/>
    <n v="27"/>
    <n v="83"/>
    <n v="1"/>
    <x v="1"/>
    <n v="7.1666452910482157"/>
    <x v="4"/>
    <x v="4"/>
    <n v="29"/>
    <n v="963"/>
    <n v="23"/>
    <n v="47.957599999999999"/>
    <x v="0"/>
    <n v="3.8446144787675851"/>
    <x v="2"/>
    <x v="0"/>
    <n v="995.92949999999996"/>
    <n v="3920.0922422945096"/>
    <n v="-945"/>
  </r>
  <r>
    <x v="1"/>
    <x v="10"/>
    <n v="15.707800000000001"/>
    <n v="11"/>
    <n v="996"/>
    <n v="2330.9658020919492"/>
    <x v="0"/>
    <n v="51"/>
    <n v="13"/>
    <n v="80"/>
    <n v="2"/>
    <x v="2"/>
    <n v="8.6732112112786126"/>
    <x v="2"/>
    <x v="1"/>
    <n v="18"/>
    <n v="830"/>
    <n v="5"/>
    <n v="96.5274"/>
    <x v="2"/>
    <n v="1.7273139283559424"/>
    <x v="0"/>
    <x v="0"/>
    <n v="806.10320000000002"/>
    <n v="1419.6619908806706"/>
    <n v="-985"/>
  </r>
  <r>
    <x v="1"/>
    <x v="11"/>
    <n v="90.635499999999993"/>
    <n v="95"/>
    <n v="960"/>
    <n v="6099.944115581452"/>
    <x v="1"/>
    <n v="46"/>
    <n v="23"/>
    <n v="60"/>
    <n v="1"/>
    <x v="1"/>
    <n v="4.5239431243166628"/>
    <x v="4"/>
    <x v="1"/>
    <n v="28"/>
    <n v="362"/>
    <n v="11"/>
    <n v="27.592400000000001"/>
    <x v="0"/>
    <n v="2.1169821372994391E-2"/>
    <x v="1"/>
    <x v="2"/>
    <n v="126.723"/>
    <n v="5941.1047724571354"/>
    <n v="-865"/>
  </r>
  <r>
    <x v="0"/>
    <x v="12"/>
    <n v="71.213399999999993"/>
    <n v="41"/>
    <n v="336"/>
    <n v="2873.7414460214413"/>
    <x v="2"/>
    <n v="100"/>
    <n v="30"/>
    <n v="85"/>
    <n v="4"/>
    <x v="1"/>
    <n v="1.325274010184522"/>
    <x v="3"/>
    <x v="1"/>
    <n v="3"/>
    <n v="563"/>
    <n v="3"/>
    <n v="32.321300000000001"/>
    <x v="1"/>
    <n v="2.1612537475559117"/>
    <x v="0"/>
    <x v="0"/>
    <n v="402.96879999999999"/>
    <n v="2437.1260720112568"/>
    <n v="-295"/>
  </r>
  <r>
    <x v="1"/>
    <x v="13"/>
    <n v="16.160399999999999"/>
    <n v="5"/>
    <n v="249"/>
    <n v="4052.7384162378667"/>
    <x v="3"/>
    <n v="80"/>
    <n v="8"/>
    <n v="48"/>
    <n v="9"/>
    <x v="1"/>
    <n v="9.5372830611083383"/>
    <x v="2"/>
    <x v="3"/>
    <n v="23"/>
    <n v="173"/>
    <n v="10"/>
    <n v="97.829099999999997"/>
    <x v="0"/>
    <n v="1.6310742300715386"/>
    <x v="0"/>
    <x v="0"/>
    <n v="547.24099999999999"/>
    <n v="3398.1310331767581"/>
    <n v="-244"/>
  </r>
  <r>
    <x v="1"/>
    <x v="14"/>
    <n v="99.171300000000002"/>
    <n v="26"/>
    <n v="562"/>
    <n v="8653.5709264698016"/>
    <x v="0"/>
    <n v="54"/>
    <n v="29"/>
    <n v="78"/>
    <n v="5"/>
    <x v="0"/>
    <n v="2.0397701894493316"/>
    <x v="1"/>
    <x v="1"/>
    <n v="25"/>
    <n v="558"/>
    <n v="14"/>
    <n v="5.7914000000000003"/>
    <x v="0"/>
    <n v="0.10068285156509371"/>
    <x v="1"/>
    <x v="0"/>
    <n v="929.23530000000005"/>
    <n v="7716.5044562803523"/>
    <n v="-536"/>
  </r>
  <r>
    <x v="1"/>
    <x v="15"/>
    <n v="36.989199999999997"/>
    <n v="94"/>
    <n v="469"/>
    <n v="5442.0867853976733"/>
    <x v="0"/>
    <n v="9"/>
    <n v="8"/>
    <n v="69"/>
    <n v="7"/>
    <x v="0"/>
    <n v="2.4220397232752044"/>
    <x v="1"/>
    <x v="3"/>
    <n v="14"/>
    <n v="580"/>
    <n v="7"/>
    <n v="97.121300000000005"/>
    <x v="2"/>
    <n v="2.2644057611985491"/>
    <x v="3"/>
    <x v="0"/>
    <n v="127.8618"/>
    <n v="5214.6816456743982"/>
    <n v="-375"/>
  </r>
  <r>
    <x v="1"/>
    <x v="16"/>
    <n v="7.5472000000000001"/>
    <n v="74"/>
    <n v="280"/>
    <n v="6453.7979681762854"/>
    <x v="1"/>
    <n v="2"/>
    <n v="5"/>
    <n v="78"/>
    <n v="1"/>
    <x v="0"/>
    <n v="4.1913245857055017"/>
    <x v="1"/>
    <x v="3"/>
    <n v="3"/>
    <n v="399"/>
    <n v="21"/>
    <n v="77.106300000000005"/>
    <x v="2"/>
    <n v="1.0125630892580491"/>
    <x v="1"/>
    <x v="2"/>
    <n v="865.5258"/>
    <n v="5506.9745435905797"/>
    <n v="-206"/>
  </r>
  <r>
    <x v="2"/>
    <x v="17"/>
    <n v="81.462500000000006"/>
    <n v="82"/>
    <n v="126"/>
    <n v="2629.3964348452619"/>
    <x v="1"/>
    <n v="45"/>
    <n v="17"/>
    <n v="85"/>
    <n v="9"/>
    <x v="2"/>
    <n v="3.5854189582323421"/>
    <x v="1"/>
    <x v="4"/>
    <n v="7"/>
    <n v="453"/>
    <n v="16"/>
    <n v="47.679699999999997"/>
    <x v="1"/>
    <n v="0.10202075491817619"/>
    <x v="1"/>
    <x v="1"/>
    <n v="670.93439999999998"/>
    <n v="1907.1969158870295"/>
    <n v="-44"/>
  </r>
  <r>
    <x v="0"/>
    <x v="18"/>
    <n v="36.443600000000004"/>
    <n v="23"/>
    <n v="620"/>
    <n v="9364.6735050761727"/>
    <x v="2"/>
    <n v="10"/>
    <n v="10"/>
    <n v="46"/>
    <n v="8"/>
    <x v="2"/>
    <n v="4.339224714110709"/>
    <x v="4"/>
    <x v="1"/>
    <n v="18"/>
    <n v="374"/>
    <n v="17"/>
    <n v="27.108000000000001"/>
    <x v="0"/>
    <n v="2.2319391107292637"/>
    <x v="3"/>
    <x v="2"/>
    <n v="593.48030000000006"/>
    <n v="8739.7459803620623"/>
    <n v="-597"/>
  </r>
  <r>
    <x v="1"/>
    <x v="19"/>
    <n v="51.123899999999999"/>
    <n v="100"/>
    <n v="187"/>
    <n v="2553.4955849912149"/>
    <x v="2"/>
    <n v="48"/>
    <n v="11"/>
    <n v="94"/>
    <n v="3"/>
    <x v="1"/>
    <n v="4.7426358828418769"/>
    <x v="3"/>
    <x v="4"/>
    <n v="20"/>
    <n v="694"/>
    <n v="16"/>
    <n v="82.3733"/>
    <x v="1"/>
    <n v="3.6464508654170293"/>
    <x v="0"/>
    <x v="1"/>
    <n v="477.30759999999998"/>
    <n v="1989.072049108373"/>
    <n v="-87"/>
  </r>
  <r>
    <x v="1"/>
    <x v="20"/>
    <n v="96.341099999999997"/>
    <n v="22"/>
    <n v="320"/>
    <n v="8128.0276968511916"/>
    <x v="2"/>
    <n v="27"/>
    <n v="12"/>
    <n v="68"/>
    <n v="6"/>
    <x v="1"/>
    <n v="8.8783346509268402"/>
    <x v="1"/>
    <x v="4"/>
    <n v="29"/>
    <n v="309"/>
    <n v="6"/>
    <n v="65.686300000000003"/>
    <x v="2"/>
    <n v="4.2314165735345393"/>
    <x v="1"/>
    <x v="0"/>
    <n v="493.87119999999999"/>
    <n v="7559.5918622002646"/>
    <n v="-298"/>
  </r>
  <r>
    <x v="2"/>
    <x v="21"/>
    <n v="84.893900000000002"/>
    <n v="60"/>
    <n v="601"/>
    <n v="7087.0526963574366"/>
    <x v="2"/>
    <n v="69"/>
    <n v="25"/>
    <n v="7"/>
    <n v="6"/>
    <x v="0"/>
    <n v="6.0378837692182978"/>
    <x v="2"/>
    <x v="4"/>
    <n v="19"/>
    <n v="791"/>
    <n v="4"/>
    <n v="61.735700000000001"/>
    <x v="0"/>
    <n v="1.8607567631014899E-2"/>
    <x v="1"/>
    <x v="1"/>
    <n v="523.36090000000002"/>
    <n v="6495.918212588218"/>
    <n v="-541"/>
  </r>
  <r>
    <x v="0"/>
    <x v="22"/>
    <n v="27.6798"/>
    <n v="55"/>
    <n v="884"/>
    <n v="2390.8078665561734"/>
    <x v="2"/>
    <n v="71"/>
    <n v="1"/>
    <n v="63"/>
    <n v="10"/>
    <x v="1"/>
    <n v="9.5676489209230393"/>
    <x v="3"/>
    <x v="1"/>
    <n v="22"/>
    <n v="780"/>
    <n v="28"/>
    <n v="50.120800000000003"/>
    <x v="1"/>
    <n v="2.5912754732111161"/>
    <x v="2"/>
    <x v="1"/>
    <n v="205.572"/>
    <n v="2125.5474176352504"/>
    <n v="-829"/>
  </r>
  <r>
    <x v="2"/>
    <x v="23"/>
    <n v="4.3243"/>
    <n v="30"/>
    <n v="391"/>
    <n v="8858.367571011484"/>
    <x v="2"/>
    <n v="84"/>
    <n v="5"/>
    <n v="29"/>
    <n v="7"/>
    <x v="1"/>
    <n v="2.924857601145554"/>
    <x v="2"/>
    <x v="1"/>
    <n v="11"/>
    <n v="568"/>
    <n v="29"/>
    <n v="98.61"/>
    <x v="0"/>
    <n v="1.3422915627227339"/>
    <x v="2"/>
    <x v="2"/>
    <n v="196.32939999999999"/>
    <n v="8560.5033134103378"/>
    <n v="-361"/>
  </r>
  <r>
    <x v="0"/>
    <x v="24"/>
    <n v="4.1562999999999999"/>
    <n v="32"/>
    <n v="209"/>
    <n v="9049.0778609398967"/>
    <x v="3"/>
    <n v="4"/>
    <n v="26"/>
    <n v="2"/>
    <n v="8"/>
    <x v="2"/>
    <n v="9.7412916892843686"/>
    <x v="4"/>
    <x v="3"/>
    <n v="28"/>
    <n v="447"/>
    <n v="3"/>
    <n v="40.382399999999997"/>
    <x v="0"/>
    <n v="3.691310292628728"/>
    <x v="1"/>
    <x v="2"/>
    <n v="758.72479999999996"/>
    <n v="8240.2293692506119"/>
    <n v="-177"/>
  </r>
  <r>
    <x v="0"/>
    <x v="25"/>
    <n v="39.629300000000001"/>
    <n v="73"/>
    <n v="142"/>
    <n v="2174.777054350654"/>
    <x v="3"/>
    <n v="82"/>
    <n v="11"/>
    <n v="52"/>
    <n v="3"/>
    <x v="2"/>
    <n v="2.2310736812817278"/>
    <x v="3"/>
    <x v="1"/>
    <n v="19"/>
    <n v="934"/>
    <n v="23"/>
    <n v="78.2804"/>
    <x v="0"/>
    <n v="3.7972312171141831"/>
    <x v="0"/>
    <x v="0"/>
    <n v="458.53590000000003"/>
    <n v="1635.7296806693721"/>
    <n v="-69"/>
  </r>
  <r>
    <x v="0"/>
    <x v="26"/>
    <n v="97.446899999999999"/>
    <n v="9"/>
    <n v="353"/>
    <n v="3716.4933258940368"/>
    <x v="3"/>
    <n v="59"/>
    <n v="16"/>
    <n v="48"/>
    <n v="4"/>
    <x v="0"/>
    <n v="6.5075486210785511"/>
    <x v="4"/>
    <x v="3"/>
    <n v="26"/>
    <n v="171"/>
    <n v="4"/>
    <n v="15.972200000000001"/>
    <x v="2"/>
    <n v="2.1193197367249228"/>
    <x v="2"/>
    <x v="2"/>
    <n v="617.86689999999999"/>
    <n v="3076.1466772729582"/>
    <n v="-344"/>
  </r>
  <r>
    <x v="2"/>
    <x v="27"/>
    <n v="92.557400000000001"/>
    <n v="42"/>
    <n v="352"/>
    <n v="2686.4572235759833"/>
    <x v="2"/>
    <n v="47"/>
    <n v="9"/>
    <n v="62"/>
    <n v="8"/>
    <x v="2"/>
    <n v="7.406750952998074"/>
    <x v="2"/>
    <x v="0"/>
    <n v="25"/>
    <n v="291"/>
    <n v="4"/>
    <n v="10.5282"/>
    <x v="1"/>
    <n v="2.8646678378833732"/>
    <x v="3"/>
    <x v="0"/>
    <n v="762.45920000000001"/>
    <n v="1906.0630726229851"/>
    <n v="-310"/>
  </r>
  <r>
    <x v="2"/>
    <x v="28"/>
    <n v="2.3973"/>
    <n v="12"/>
    <n v="394"/>
    <n v="6117.3246150839923"/>
    <x v="1"/>
    <n v="48"/>
    <n v="15"/>
    <n v="24"/>
    <n v="4"/>
    <x v="0"/>
    <n v="9.898140508069222"/>
    <x v="1"/>
    <x v="0"/>
    <n v="13"/>
    <n v="171"/>
    <n v="7"/>
    <n v="59.429400000000001"/>
    <x v="1"/>
    <n v="0.81575707929567198"/>
    <x v="1"/>
    <x v="2"/>
    <n v="123.437"/>
    <n v="5924.560074575923"/>
    <n v="-382"/>
  </r>
  <r>
    <x v="2"/>
    <x v="29"/>
    <n v="63.447600000000001"/>
    <n v="3"/>
    <n v="253"/>
    <n v="8318.9031946171781"/>
    <x v="1"/>
    <n v="45"/>
    <n v="5"/>
    <n v="67"/>
    <n v="7"/>
    <x v="0"/>
    <n v="8.1009731453970311"/>
    <x v="1"/>
    <x v="1"/>
    <n v="16"/>
    <n v="329"/>
    <n v="7"/>
    <n v="39.292900000000003"/>
    <x v="2"/>
    <n v="3.8780989365884881"/>
    <x v="0"/>
    <x v="0"/>
    <n v="764.93539999999996"/>
    <n v="7506.5739214717814"/>
    <n v="-250"/>
  </r>
  <r>
    <x v="0"/>
    <x v="30"/>
    <n v="8.0228999999999999"/>
    <n v="10"/>
    <n v="327"/>
    <n v="2766.3423668660889"/>
    <x v="3"/>
    <n v="60"/>
    <n v="26"/>
    <n v="35"/>
    <n v="7"/>
    <x v="0"/>
    <n v="8.9545283153180151"/>
    <x v="3"/>
    <x v="1"/>
    <n v="27"/>
    <n v="806"/>
    <n v="30"/>
    <n v="51.634900000000002"/>
    <x v="0"/>
    <n v="0.96539470535239313"/>
    <x v="0"/>
    <x v="1"/>
    <n v="880.08100000000002"/>
    <n v="1825.6719385507708"/>
    <n v="-317"/>
  </r>
  <r>
    <x v="1"/>
    <x v="31"/>
    <n v="50.8474"/>
    <n v="28"/>
    <n v="168"/>
    <n v="9655.1351027193978"/>
    <x v="3"/>
    <n v="6"/>
    <n v="17"/>
    <n v="44"/>
    <n v="4"/>
    <x v="0"/>
    <n v="2.6796609649814065"/>
    <x v="0"/>
    <x v="4"/>
    <n v="24"/>
    <n v="461"/>
    <n v="8"/>
    <n v="60.251100000000001"/>
    <x v="0"/>
    <n v="2.9890000066550746"/>
    <x v="2"/>
    <x v="1"/>
    <n v="609.37919999999997"/>
    <n v="8982.8251417544161"/>
    <n v="-140"/>
  </r>
  <r>
    <x v="1"/>
    <x v="32"/>
    <n v="79.209900000000005"/>
    <n v="43"/>
    <n v="781"/>
    <n v="9571.5504873278187"/>
    <x v="2"/>
    <n v="89"/>
    <n v="13"/>
    <n v="64"/>
    <n v="4"/>
    <x v="2"/>
    <n v="6.5991049012385838"/>
    <x v="0"/>
    <x v="1"/>
    <n v="30"/>
    <n v="737"/>
    <n v="7"/>
    <n v="29.692499999999999"/>
    <x v="2"/>
    <n v="1.9460361193861131"/>
    <x v="0"/>
    <x v="2"/>
    <n v="761.1739"/>
    <n v="8774.0849824265806"/>
    <n v="-738"/>
  </r>
  <r>
    <x v="2"/>
    <x v="33"/>
    <n v="64.795400000000001"/>
    <n v="63"/>
    <n v="616"/>
    <n v="5149.9983504080365"/>
    <x v="0"/>
    <n v="4"/>
    <n v="17"/>
    <n v="95"/>
    <n v="9"/>
    <x v="2"/>
    <n v="4.85827050343664"/>
    <x v="2"/>
    <x v="4"/>
    <n v="1"/>
    <n v="251"/>
    <n v="23"/>
    <n v="23.853400000000001"/>
    <x v="1"/>
    <n v="3.5410460122509231"/>
    <x v="3"/>
    <x v="2"/>
    <n v="371.25529999999998"/>
    <n v="4750.0313799045998"/>
    <n v="-553"/>
  </r>
  <r>
    <x v="1"/>
    <x v="34"/>
    <n v="37.467599999999997"/>
    <n v="96"/>
    <n v="602"/>
    <n v="9061.7108955077238"/>
    <x v="2"/>
    <n v="1"/>
    <n v="26"/>
    <n v="21"/>
    <n v="7"/>
    <x v="1"/>
    <n v="1.0194875708221189"/>
    <x v="1"/>
    <x v="4"/>
    <n v="4"/>
    <n v="452"/>
    <n v="10"/>
    <n v="10.754300000000001"/>
    <x v="2"/>
    <n v="0.64660455937205485"/>
    <x v="0"/>
    <x v="0"/>
    <n v="510.358"/>
    <n v="8539.579107936901"/>
    <n v="-506"/>
  </r>
  <r>
    <x v="2"/>
    <x v="35"/>
    <n v="84.957800000000006"/>
    <n v="11"/>
    <n v="449"/>
    <n v="6541.3293448024651"/>
    <x v="1"/>
    <n v="42"/>
    <n v="27"/>
    <n v="85"/>
    <n v="8"/>
    <x v="2"/>
    <n v="5.2881899903274094"/>
    <x v="1"/>
    <x v="2"/>
    <n v="3"/>
    <n v="367"/>
    <n v="2"/>
    <n v="58.004800000000003"/>
    <x v="2"/>
    <n v="0.54115409806058112"/>
    <x v="3"/>
    <x v="1"/>
    <n v="553.42049999999995"/>
    <n v="5924.6158548121375"/>
    <n v="-438"/>
  </r>
  <r>
    <x v="1"/>
    <x v="36"/>
    <n v="9.8130000000000006"/>
    <n v="34"/>
    <n v="963"/>
    <n v="7573.4024578487333"/>
    <x v="1"/>
    <n v="18"/>
    <n v="23"/>
    <n v="28"/>
    <n v="3"/>
    <x v="0"/>
    <n v="2.107951267159081"/>
    <x v="4"/>
    <x v="2"/>
    <n v="26"/>
    <n v="671"/>
    <n v="19"/>
    <n v="45.531399999999998"/>
    <x v="1"/>
    <n v="3.8055333792433537"/>
    <x v="1"/>
    <x v="1"/>
    <n v="403.80900000000003"/>
    <n v="7121.9541065815738"/>
    <n v="-929"/>
  </r>
  <r>
    <x v="1"/>
    <x v="37"/>
    <n v="23.399799999999999"/>
    <n v="5"/>
    <n v="963"/>
    <n v="2438.3399304700288"/>
    <x v="1"/>
    <n v="25"/>
    <n v="8"/>
    <n v="21"/>
    <n v="9"/>
    <x v="1"/>
    <n v="1.5326552735904306"/>
    <x v="0"/>
    <x v="1"/>
    <n v="24"/>
    <n v="867"/>
    <n v="15"/>
    <n v="34.343299999999999"/>
    <x v="0"/>
    <n v="2.6102880848481131"/>
    <x v="3"/>
    <x v="2"/>
    <n v="183.93299999999999"/>
    <n v="2218.5309751964382"/>
    <n v="-958"/>
  </r>
  <r>
    <x v="2"/>
    <x v="38"/>
    <n v="52.075899999999997"/>
    <n v="75"/>
    <n v="705"/>
    <n v="9692.3180402184316"/>
    <x v="0"/>
    <n v="69"/>
    <n v="1"/>
    <n v="88"/>
    <n v="5"/>
    <x v="0"/>
    <n v="9.2359314372492278"/>
    <x v="2"/>
    <x v="0"/>
    <n v="10"/>
    <n v="841"/>
    <n v="12"/>
    <n v="5.9306999999999999"/>
    <x v="0"/>
    <n v="0.61332689916450744"/>
    <x v="1"/>
    <x v="0"/>
    <n v="339.67290000000003"/>
    <n v="9337.4785087811815"/>
    <n v="-630"/>
  </r>
  <r>
    <x v="1"/>
    <x v="39"/>
    <n v="19.127500000000001"/>
    <n v="26"/>
    <n v="176"/>
    <n v="1912.4656631007608"/>
    <x v="1"/>
    <n v="78"/>
    <n v="29"/>
    <n v="34"/>
    <n v="3"/>
    <x v="1"/>
    <n v="5.5625037788303837"/>
    <x v="4"/>
    <x v="1"/>
    <n v="30"/>
    <n v="791"/>
    <n v="6"/>
    <n v="9.0058000000000007"/>
    <x v="1"/>
    <n v="1.4519722039968159"/>
    <x v="1"/>
    <x v="0"/>
    <n v="653.673"/>
    <n v="1244.2243593219305"/>
    <n v="-150"/>
  </r>
  <r>
    <x v="1"/>
    <x v="40"/>
    <n v="80.541399999999996"/>
    <n v="97"/>
    <n v="933"/>
    <n v="5724.9593504562654"/>
    <x v="1"/>
    <n v="90"/>
    <n v="20"/>
    <n v="39"/>
    <n v="8"/>
    <x v="2"/>
    <n v="7.2295951397364737"/>
    <x v="1"/>
    <x v="1"/>
    <n v="18"/>
    <n v="793"/>
    <n v="1"/>
    <n v="88.179400000000001"/>
    <x v="0"/>
    <n v="4.2132694305865659"/>
    <x v="0"/>
    <x v="2"/>
    <n v="529.80870000000004"/>
    <n v="5099.7416553165285"/>
    <n v="-836"/>
  </r>
  <r>
    <x v="1"/>
    <x v="41"/>
    <n v="99.113299999999995"/>
    <n v="35"/>
    <n v="556"/>
    <n v="5521.2052590109715"/>
    <x v="1"/>
    <n v="64"/>
    <n v="19"/>
    <n v="38"/>
    <n v="8"/>
    <x v="0"/>
    <n v="5.7732637437666536"/>
    <x v="3"/>
    <x v="4"/>
    <n v="18"/>
    <n v="892"/>
    <n v="7"/>
    <n v="95.332099999999997"/>
    <x v="1"/>
    <n v="4.530226239825963E-2"/>
    <x v="3"/>
    <x v="2"/>
    <n v="275.52440000000001"/>
    <n v="5144.575495267205"/>
    <n v="-521"/>
  </r>
  <r>
    <x v="1"/>
    <x v="42"/>
    <n v="46.529200000000003"/>
    <n v="98"/>
    <n v="155"/>
    <n v="1839.6094258567639"/>
    <x v="1"/>
    <n v="22"/>
    <n v="27"/>
    <n v="57"/>
    <n v="4"/>
    <x v="2"/>
    <n v="7.5262483268515084"/>
    <x v="2"/>
    <x v="3"/>
    <n v="26"/>
    <n v="179"/>
    <n v="7"/>
    <n v="96.422799999999995"/>
    <x v="1"/>
    <n v="4.9392552886209478"/>
    <x v="0"/>
    <x v="2"/>
    <n v="635.65710000000001"/>
    <n v="1100.0032775299123"/>
    <n v="-57"/>
  </r>
  <r>
    <x v="0"/>
    <x v="43"/>
    <n v="11.7433"/>
    <n v="6"/>
    <n v="598"/>
    <n v="5737.425599119023"/>
    <x v="2"/>
    <n v="36"/>
    <n v="29"/>
    <n v="85"/>
    <n v="9"/>
    <x v="0"/>
    <n v="3.6940212683884543"/>
    <x v="2"/>
    <x v="0"/>
    <n v="1"/>
    <n v="206"/>
    <n v="23"/>
    <n v="26.2774"/>
    <x v="0"/>
    <n v="0.37230476798509771"/>
    <x v="1"/>
    <x v="2"/>
    <n v="716.04409999999996"/>
    <n v="4991.4100778506345"/>
    <n v="-592"/>
  </r>
  <r>
    <x v="2"/>
    <x v="44"/>
    <n v="51.355800000000002"/>
    <n v="34"/>
    <n v="919"/>
    <n v="7152.2860494355145"/>
    <x v="1"/>
    <n v="13"/>
    <n v="19"/>
    <n v="72"/>
    <n v="6"/>
    <x v="2"/>
    <n v="7.5774496573766932"/>
    <x v="4"/>
    <x v="2"/>
    <n v="7"/>
    <n v="834"/>
    <n v="18"/>
    <n v="22.554099999999998"/>
    <x v="1"/>
    <n v="2.9626263204548819"/>
    <x v="2"/>
    <x v="2"/>
    <n v="610.45330000000001"/>
    <n v="6511.7011997781374"/>
    <n v="-885"/>
  </r>
  <r>
    <x v="0"/>
    <x v="45"/>
    <n v="33.784100000000002"/>
    <n v="1"/>
    <n v="24"/>
    <n v="5267.9568075105208"/>
    <x v="3"/>
    <n v="93"/>
    <n v="7"/>
    <n v="52"/>
    <n v="6"/>
    <x v="0"/>
    <n v="5.2151550087119096"/>
    <x v="4"/>
    <x v="4"/>
    <n v="25"/>
    <n v="794"/>
    <n v="25"/>
    <n v="66.3125"/>
    <x v="2"/>
    <n v="3.219604612084106"/>
    <x v="2"/>
    <x v="2"/>
    <n v="495.3057"/>
    <n v="4701.123452501809"/>
    <n v="-23"/>
  </r>
  <r>
    <x v="0"/>
    <x v="46"/>
    <n v="27.0822"/>
    <n v="75"/>
    <n v="859"/>
    <n v="2556.7673606335957"/>
    <x v="0"/>
    <n v="92"/>
    <n v="29"/>
    <n v="6"/>
    <n v="8"/>
    <x v="0"/>
    <n v="4.0709558370840826"/>
    <x v="0"/>
    <x v="4"/>
    <n v="18"/>
    <n v="870"/>
    <n v="23"/>
    <n v="77.322400000000002"/>
    <x v="0"/>
    <n v="3.6486105925362033"/>
    <x v="0"/>
    <x v="0"/>
    <n v="380.4359"/>
    <n v="2094.9381047965117"/>
    <n v="-784"/>
  </r>
  <r>
    <x v="1"/>
    <x v="47"/>
    <n v="95.712100000000007"/>
    <n v="93"/>
    <n v="910"/>
    <n v="7089.4742499341864"/>
    <x v="3"/>
    <n v="4"/>
    <n v="15"/>
    <n v="51"/>
    <n v="9"/>
    <x v="0"/>
    <n v="8.9787507559499709"/>
    <x v="1"/>
    <x v="1"/>
    <n v="10"/>
    <n v="964"/>
    <n v="20"/>
    <n v="19.713000000000001"/>
    <x v="0"/>
    <n v="0.38057358671321373"/>
    <x v="2"/>
    <x v="2"/>
    <n v="581.60239999999999"/>
    <n v="6479.1800991782366"/>
    <n v="-817"/>
  </r>
  <r>
    <x v="0"/>
    <x v="48"/>
    <n v="76.035499999999999"/>
    <n v="28"/>
    <n v="29"/>
    <n v="7397.0710045871801"/>
    <x v="0"/>
    <n v="30"/>
    <n v="16"/>
    <n v="9"/>
    <n v="3"/>
    <x v="2"/>
    <n v="7.0958331565551385"/>
    <x v="4"/>
    <x v="0"/>
    <n v="9"/>
    <n v="109"/>
    <n v="18"/>
    <n v="23.1264"/>
    <x v="1"/>
    <n v="1.6981125407144038"/>
    <x v="2"/>
    <x v="0"/>
    <n v="768.65189999999996"/>
    <n v="6598.1968714306249"/>
    <n v="-1"/>
  </r>
  <r>
    <x v="2"/>
    <x v="49"/>
    <n v="78.897900000000007"/>
    <n v="19"/>
    <n v="99"/>
    <n v="8001.6132065190022"/>
    <x v="2"/>
    <n v="97"/>
    <n v="24"/>
    <n v="9"/>
    <n v="6"/>
    <x v="2"/>
    <n v="2.5056210329009154"/>
    <x v="2"/>
    <x v="2"/>
    <n v="28"/>
    <n v="177"/>
    <n v="28"/>
    <n v="14.1478"/>
    <x v="2"/>
    <n v="2.8258139854001318"/>
    <x v="2"/>
    <x v="2"/>
    <n v="336.89019999999999"/>
    <n v="7648.0695854861015"/>
    <n v="-80"/>
  </r>
  <r>
    <x v="2"/>
    <x v="50"/>
    <n v="14.2035"/>
    <n v="91"/>
    <n v="633"/>
    <n v="5910.8853896688988"/>
    <x v="1"/>
    <n v="31"/>
    <n v="23"/>
    <n v="82"/>
    <n v="10"/>
    <x v="1"/>
    <n v="6.2478609149759912"/>
    <x v="4"/>
    <x v="2"/>
    <n v="20"/>
    <n v="306"/>
    <n v="21"/>
    <n v="45.178800000000003"/>
    <x v="1"/>
    <n v="4.7548008046711852"/>
    <x v="2"/>
    <x v="0"/>
    <n v="496.24869999999999"/>
    <n v="5363.2100287539233"/>
    <n v="-542"/>
  </r>
  <r>
    <x v="0"/>
    <x v="51"/>
    <n v="26.700800000000001"/>
    <n v="61"/>
    <n v="154"/>
    <n v="9866.465457979697"/>
    <x v="3"/>
    <n v="100"/>
    <n v="4"/>
    <n v="52"/>
    <n v="1"/>
    <x v="1"/>
    <n v="4.7830005579476653"/>
    <x v="2"/>
    <x v="3"/>
    <n v="18"/>
    <n v="673"/>
    <n v="28"/>
    <n v="14.190300000000001"/>
    <x v="0"/>
    <n v="1.7729511720835571"/>
    <x v="0"/>
    <x v="2"/>
    <n v="694.98230000000001"/>
    <n v="9152.50985742175"/>
    <n v="-93"/>
  </r>
  <r>
    <x v="1"/>
    <x v="52"/>
    <n v="98.031800000000004"/>
    <n v="1"/>
    <n v="820"/>
    <n v="9435.7626089121295"/>
    <x v="3"/>
    <n v="64"/>
    <n v="11"/>
    <n v="11"/>
    <n v="1"/>
    <x v="0"/>
    <n v="8.6310521797689468"/>
    <x v="1"/>
    <x v="0"/>
    <n v="10"/>
    <n v="727"/>
    <n v="27"/>
    <n v="9.1668000000000003"/>
    <x v="0"/>
    <n v="2.1224716191438247"/>
    <x v="1"/>
    <x v="1"/>
    <n v="602.89850000000001"/>
    <n v="8815.0662567323598"/>
    <n v="-819"/>
  </r>
  <r>
    <x v="1"/>
    <x v="53"/>
    <n v="30.3415"/>
    <n v="93"/>
    <n v="242"/>
    <n v="8232.3348294258212"/>
    <x v="3"/>
    <n v="96"/>
    <n v="25"/>
    <n v="54"/>
    <n v="3"/>
    <x v="0"/>
    <n v="1.0134865660958963"/>
    <x v="1"/>
    <x v="2"/>
    <n v="1"/>
    <n v="631"/>
    <n v="17"/>
    <n v="83.344099999999997"/>
    <x v="0"/>
    <n v="1.4103475760760271"/>
    <x v="1"/>
    <x v="0"/>
    <n v="750.73779999999999"/>
    <n v="7397.2394428597254"/>
    <n v="-149"/>
  </r>
  <r>
    <x v="0"/>
    <x v="54"/>
    <n v="31.1462"/>
    <n v="11"/>
    <n v="622"/>
    <n v="6088.0214799408586"/>
    <x v="0"/>
    <n v="33"/>
    <n v="22"/>
    <n v="61"/>
    <n v="3"/>
    <x v="0"/>
    <n v="4.3051034712876355"/>
    <x v="1"/>
    <x v="1"/>
    <n v="26"/>
    <n v="497"/>
    <n v="29"/>
    <n v="30.186"/>
    <x v="2"/>
    <n v="2.4787719755397477"/>
    <x v="0"/>
    <x v="0"/>
    <n v="814.07"/>
    <n v="5239.4603764695712"/>
    <n v="-611"/>
  </r>
  <r>
    <x v="0"/>
    <x v="55"/>
    <n v="79.855099999999993"/>
    <n v="16"/>
    <n v="701"/>
    <n v="2925.6751703038126"/>
    <x v="3"/>
    <n v="97"/>
    <n v="11"/>
    <n v="11"/>
    <n v="5"/>
    <x v="1"/>
    <n v="5.0143649550309073"/>
    <x v="4"/>
    <x v="2"/>
    <n v="27"/>
    <n v="918"/>
    <n v="5"/>
    <n v="30.323499999999999"/>
    <x v="1"/>
    <n v="4.5489196593963852"/>
    <x v="3"/>
    <x v="0"/>
    <n v="323.0129"/>
    <n v="2567.3244053487815"/>
    <n v="-685"/>
  </r>
  <r>
    <x v="1"/>
    <x v="56"/>
    <n v="20.9864"/>
    <n v="90"/>
    <n v="93"/>
    <n v="4767.020484344137"/>
    <x v="0"/>
    <n v="25"/>
    <n v="23"/>
    <n v="83"/>
    <n v="5"/>
    <x v="2"/>
    <n v="1.7744297140717396"/>
    <x v="1"/>
    <x v="0"/>
    <n v="24"/>
    <n v="826"/>
    <n v="28"/>
    <n v="12.8363"/>
    <x v="2"/>
    <n v="1.1737554953874541"/>
    <x v="1"/>
    <x v="0"/>
    <n v="832.21079999999995"/>
    <n v="3920.1989546300651"/>
    <n v="-3"/>
  </r>
  <r>
    <x v="0"/>
    <x v="57"/>
    <n v="49.263199999999998"/>
    <n v="65"/>
    <n v="227"/>
    <n v="1605.8669003924058"/>
    <x v="2"/>
    <n v="5"/>
    <n v="18"/>
    <n v="51"/>
    <n v="1"/>
    <x v="0"/>
    <n v="9.1605585353818704"/>
    <x v="4"/>
    <x v="2"/>
    <n v="21"/>
    <n v="588"/>
    <n v="25"/>
    <n v="67.779600000000002"/>
    <x v="0"/>
    <n v="2.511174830212707"/>
    <x v="2"/>
    <x v="2"/>
    <n v="482.19119999999998"/>
    <n v="1046.7355418570239"/>
    <n v="-162"/>
  </r>
  <r>
    <x v="1"/>
    <x v="58"/>
    <n v="59.8416"/>
    <n v="81"/>
    <n v="896"/>
    <n v="2021.1498103371077"/>
    <x v="0"/>
    <n v="10"/>
    <n v="5"/>
    <n v="44"/>
    <n v="7"/>
    <x v="1"/>
    <n v="4.9384385647120901"/>
    <x v="0"/>
    <x v="2"/>
    <n v="18"/>
    <n v="396"/>
    <n v="7"/>
    <n v="65.047399999999996"/>
    <x v="1"/>
    <n v="1.7303747198591968"/>
    <x v="0"/>
    <x v="0"/>
    <n v="110.3643"/>
    <n v="1840.7996717723956"/>
    <n v="-815"/>
  </r>
  <r>
    <x v="2"/>
    <x v="59"/>
    <n v="63.828400000000002"/>
    <n v="30"/>
    <n v="484"/>
    <n v="1061.618523013288"/>
    <x v="0"/>
    <n v="100"/>
    <n v="16"/>
    <n v="26"/>
    <n v="7"/>
    <x v="0"/>
    <n v="7.2937225968677284"/>
    <x v="1"/>
    <x v="1"/>
    <n v="11"/>
    <n v="176"/>
    <n v="4"/>
    <n v="1.9008"/>
    <x v="1"/>
    <n v="0.4471940154638232"/>
    <x v="1"/>
    <x v="2"/>
    <n v="312.57429999999999"/>
    <n v="739.84970041642032"/>
    <n v="-454"/>
  </r>
  <r>
    <x v="1"/>
    <x v="60"/>
    <n v="17.027999999999999"/>
    <n v="16"/>
    <n v="380"/>
    <n v="8864.0843495864356"/>
    <x v="1"/>
    <n v="41"/>
    <n v="27"/>
    <n v="72"/>
    <n v="8"/>
    <x v="2"/>
    <n v="4.3813681581023145"/>
    <x v="3"/>
    <x v="0"/>
    <n v="29"/>
    <n v="929"/>
    <n v="24"/>
    <n v="87.213099999999997"/>
    <x v="1"/>
    <n v="2.8530906166490539"/>
    <x v="2"/>
    <x v="2"/>
    <n v="430.16910000000001"/>
    <n v="8342.3207814283342"/>
    <n v="-364"/>
  </r>
  <r>
    <x v="0"/>
    <x v="61"/>
    <n v="52.028700000000001"/>
    <n v="23"/>
    <n v="117"/>
    <n v="6885.5893508962527"/>
    <x v="2"/>
    <n v="32"/>
    <n v="23"/>
    <n v="36"/>
    <n v="7"/>
    <x v="2"/>
    <n v="9.0303404225219488"/>
    <x v="3"/>
    <x v="1"/>
    <n v="14"/>
    <n v="480"/>
    <n v="12"/>
    <n v="78.702399999999997"/>
    <x v="1"/>
    <n v="4.3674705382050529"/>
    <x v="1"/>
    <x v="2"/>
    <n v="164.3665"/>
    <n v="6633.490110473731"/>
    <n v="-94"/>
  </r>
  <r>
    <x v="2"/>
    <x v="62"/>
    <n v="72.796400000000006"/>
    <n v="89"/>
    <n v="270"/>
    <n v="3899.7468337292244"/>
    <x v="2"/>
    <n v="86"/>
    <n v="2"/>
    <n v="40"/>
    <n v="7"/>
    <x v="2"/>
    <n v="7.2917013887767759"/>
    <x v="4"/>
    <x v="0"/>
    <n v="13"/>
    <n v="751"/>
    <n v="14"/>
    <n v="21.0486"/>
    <x v="2"/>
    <n v="1.8740014040443747"/>
    <x v="3"/>
    <x v="1"/>
    <n v="320.84649999999999"/>
    <n v="3550.5600323404478"/>
    <n v="-181"/>
  </r>
  <r>
    <x v="1"/>
    <x v="63"/>
    <n v="13.0174"/>
    <n v="55"/>
    <n v="246"/>
    <n v="4256.9491408502254"/>
    <x v="0"/>
    <n v="54"/>
    <n v="19"/>
    <n v="10"/>
    <n v="4"/>
    <x v="1"/>
    <n v="2.45793352798733"/>
    <x v="0"/>
    <x v="3"/>
    <n v="18"/>
    <n v="736"/>
    <n v="10"/>
    <n v="20.074999999999999"/>
    <x v="0"/>
    <n v="3.6328432903821337"/>
    <x v="3"/>
    <x v="2"/>
    <n v="687.28620000000001"/>
    <n v="3547.1300073222383"/>
    <n v="-191"/>
  </r>
  <r>
    <x v="1"/>
    <x v="64"/>
    <n v="89.634100000000004"/>
    <n v="11"/>
    <n v="134"/>
    <n v="8458.7308783671779"/>
    <x v="1"/>
    <n v="73"/>
    <n v="27"/>
    <n v="75"/>
    <n v="6"/>
    <x v="2"/>
    <n v="4.5853534681946524"/>
    <x v="1"/>
    <x v="2"/>
    <n v="17"/>
    <n v="328"/>
    <n v="6"/>
    <n v="8.6929999999999996"/>
    <x v="1"/>
    <n v="0.15948631471751462"/>
    <x v="1"/>
    <x v="1"/>
    <n v="771.2251"/>
    <n v="7674.2274248989834"/>
    <n v="-123"/>
  </r>
  <r>
    <x v="1"/>
    <x v="65"/>
    <n v="33.697699999999998"/>
    <n v="72"/>
    <n v="457"/>
    <n v="8354.5796864819949"/>
    <x v="3"/>
    <n v="57"/>
    <n v="24"/>
    <n v="54"/>
    <n v="8"/>
    <x v="2"/>
    <n v="6.5805413478845951"/>
    <x v="2"/>
    <x v="1"/>
    <n v="16"/>
    <n v="358"/>
    <n v="21"/>
    <n v="1.5972"/>
    <x v="1"/>
    <n v="4.911095954842331"/>
    <x v="2"/>
    <x v="1"/>
    <n v="555.85910000000001"/>
    <n v="7790.5428451341104"/>
    <n v="-385"/>
  </r>
  <r>
    <x v="1"/>
    <x v="66"/>
    <n v="26.0349"/>
    <n v="52"/>
    <n v="704"/>
    <n v="8367.721618020154"/>
    <x v="1"/>
    <n v="13"/>
    <n v="17"/>
    <n v="19"/>
    <n v="8"/>
    <x v="1"/>
    <n v="2.2161427287713633"/>
    <x v="2"/>
    <x v="1"/>
    <n v="24"/>
    <n v="867"/>
    <n v="28"/>
    <n v="42.084400000000002"/>
    <x v="1"/>
    <n v="3.4480632883402618"/>
    <x v="0"/>
    <x v="2"/>
    <n v="393.8433"/>
    <n v="7929.5777752913827"/>
    <n v="-652"/>
  </r>
  <r>
    <x v="1"/>
    <x v="67"/>
    <n v="87.755399999999995"/>
    <n v="16"/>
    <n v="513"/>
    <n v="9473.7980325083372"/>
    <x v="2"/>
    <n v="12"/>
    <n v="9"/>
    <n v="71"/>
    <n v="9"/>
    <x v="2"/>
    <n v="9.147811544710633"/>
    <x v="1"/>
    <x v="0"/>
    <n v="10"/>
    <n v="198"/>
    <n v="11"/>
    <n v="7.0579000000000001"/>
    <x v="2"/>
    <n v="0.13195544431181483"/>
    <x v="3"/>
    <x v="1"/>
    <n v="169.27180000000001"/>
    <n v="9288.3205209636271"/>
    <n v="-497"/>
  </r>
  <r>
    <x v="0"/>
    <x v="68"/>
    <n v="37.931800000000003"/>
    <n v="29"/>
    <n v="163"/>
    <n v="3550.2184327809919"/>
    <x v="0"/>
    <n v="0"/>
    <n v="8"/>
    <n v="58"/>
    <n v="8"/>
    <x v="0"/>
    <n v="1.1942518648849991"/>
    <x v="4"/>
    <x v="3"/>
    <n v="2"/>
    <n v="375"/>
    <n v="18"/>
    <n v="97.113600000000005"/>
    <x v="1"/>
    <n v="1.9834678721741801"/>
    <x v="2"/>
    <x v="2"/>
    <n v="299.7063"/>
    <n v="3152.2042809161067"/>
    <n v="-134"/>
  </r>
  <r>
    <x v="1"/>
    <x v="69"/>
    <n v="54.865499999999997"/>
    <n v="62"/>
    <n v="511"/>
    <n v="1752.3810874841247"/>
    <x v="0"/>
    <n v="95"/>
    <n v="1"/>
    <n v="27"/>
    <n v="3"/>
    <x v="0"/>
    <n v="9.7052867901203488"/>
    <x v="3"/>
    <x v="1"/>
    <n v="9"/>
    <n v="862"/>
    <n v="7"/>
    <n v="77.627799999999993"/>
    <x v="0"/>
    <n v="1.3623879886491086"/>
    <x v="1"/>
    <x v="2"/>
    <n v="207.66319999999999"/>
    <n v="1457.3848006940043"/>
    <n v="-449"/>
  </r>
  <r>
    <x v="0"/>
    <x v="70"/>
    <n v="47.914499999999997"/>
    <n v="90"/>
    <n v="32"/>
    <n v="7014.8879872033885"/>
    <x v="1"/>
    <n v="10"/>
    <n v="12"/>
    <n v="22"/>
    <n v="4"/>
    <x v="0"/>
    <n v="6.3157177546007226"/>
    <x v="1"/>
    <x v="3"/>
    <n v="22"/>
    <n v="775"/>
    <n v="16"/>
    <n v="11.440799999999999"/>
    <x v="2"/>
    <n v="1.8305755986122314"/>
    <x v="0"/>
    <x v="1"/>
    <n v="183.27289999999999"/>
    <n v="6813.8585694487874"/>
    <n v="58"/>
  </r>
  <r>
    <x v="2"/>
    <x v="71"/>
    <n v="6.3815"/>
    <n v="14"/>
    <n v="637"/>
    <n v="8180.3370854254426"/>
    <x v="1"/>
    <n v="76"/>
    <n v="2"/>
    <n v="26"/>
    <n v="6"/>
    <x v="1"/>
    <n v="9.2281903170525172"/>
    <x v="4"/>
    <x v="3"/>
    <n v="2"/>
    <n v="258"/>
    <n v="10"/>
    <n v="30.6617"/>
    <x v="0"/>
    <n v="2.0787506078749689"/>
    <x v="0"/>
    <x v="2"/>
    <n v="405.1671"/>
    <n v="7735.28009510839"/>
    <n v="-623"/>
  </r>
  <r>
    <x v="2"/>
    <x v="72"/>
    <n v="90.204400000000007"/>
    <n v="88"/>
    <n v="478"/>
    <n v="2633.1219813122557"/>
    <x v="0"/>
    <n v="57"/>
    <n v="29"/>
    <n v="77"/>
    <n v="9"/>
    <x v="1"/>
    <n v="6.5996141596895441"/>
    <x v="1"/>
    <x v="3"/>
    <n v="21"/>
    <n v="152"/>
    <n v="11"/>
    <n v="55.7605"/>
    <x v="0"/>
    <n v="3.2133296074383089"/>
    <x v="2"/>
    <x v="0"/>
    <n v="677.94460000000004"/>
    <n v="1892.817267152566"/>
    <n v="-390"/>
  </r>
  <r>
    <x v="2"/>
    <x v="73"/>
    <n v="83.850999999999999"/>
    <n v="41"/>
    <n v="375"/>
    <n v="7910.8869161406856"/>
    <x v="3"/>
    <n v="17"/>
    <n v="25"/>
    <n v="66"/>
    <n v="5"/>
    <x v="0"/>
    <n v="1.5129368369160772"/>
    <x v="3"/>
    <x v="4"/>
    <n v="13"/>
    <n v="444"/>
    <n v="4"/>
    <n v="46.870199999999997"/>
    <x v="1"/>
    <n v="4.6205460645137064"/>
    <x v="0"/>
    <x v="2"/>
    <n v="866.47280000000001"/>
    <n v="6996.0309793037695"/>
    <n v="-334"/>
  </r>
  <r>
    <x v="0"/>
    <x v="74"/>
    <n v="3.17"/>
    <n v="64"/>
    <n v="904"/>
    <n v="5709.9452959692871"/>
    <x v="1"/>
    <n v="41"/>
    <n v="6"/>
    <n v="1"/>
    <n v="5"/>
    <x v="1"/>
    <n v="5.2376546500374479"/>
    <x v="3"/>
    <x v="2"/>
    <n v="1"/>
    <n v="919"/>
    <n v="9"/>
    <n v="80.5809"/>
    <x v="1"/>
    <n v="0.39661272410993542"/>
    <x v="2"/>
    <x v="2"/>
    <n v="341.55270000000002"/>
    <n v="5282.5740413192498"/>
    <n v="-840"/>
  </r>
  <r>
    <x v="1"/>
    <x v="75"/>
    <n v="92.996899999999997"/>
    <n v="29"/>
    <n v="106"/>
    <n v="1889.073589779335"/>
    <x v="0"/>
    <n v="16"/>
    <n v="20"/>
    <n v="56"/>
    <n v="10"/>
    <x v="2"/>
    <n v="2.4738977610454609"/>
    <x v="1"/>
    <x v="4"/>
    <n v="25"/>
    <n v="759"/>
    <n v="11"/>
    <n v="48.064799999999998"/>
    <x v="2"/>
    <n v="2.0300690886687516"/>
    <x v="1"/>
    <x v="1"/>
    <n v="873.12959999999998"/>
    <n v="965.40529201828951"/>
    <n v="-77"/>
  </r>
  <r>
    <x v="0"/>
    <x v="76"/>
    <n v="69.108800000000002"/>
    <n v="23"/>
    <n v="241"/>
    <n v="5328.3759842977579"/>
    <x v="3"/>
    <n v="38"/>
    <n v="1"/>
    <n v="22"/>
    <n v="10"/>
    <x v="1"/>
    <n v="7.0545383368369263"/>
    <x v="4"/>
    <x v="3"/>
    <n v="25"/>
    <n v="985"/>
    <n v="24"/>
    <n v="64.323599999999999"/>
    <x v="0"/>
    <n v="2.1800374515822165"/>
    <x v="2"/>
    <x v="2"/>
    <n v="997.4135"/>
    <n v="4259.5843459609205"/>
    <n v="-218"/>
  </r>
  <r>
    <x v="0"/>
    <x v="77"/>
    <n v="57.4497"/>
    <n v="14"/>
    <n v="359"/>
    <n v="2483.7601775427947"/>
    <x v="2"/>
    <n v="96"/>
    <n v="28"/>
    <n v="57"/>
    <n v="4"/>
    <x v="0"/>
    <n v="6.7809466256178954"/>
    <x v="1"/>
    <x v="1"/>
    <n v="26"/>
    <n v="334"/>
    <n v="5"/>
    <n v="42.952399999999997"/>
    <x v="2"/>
    <n v="3.0551418183075478"/>
    <x v="0"/>
    <x v="0"/>
    <n v="852.56809999999996"/>
    <n v="1581.458730917177"/>
    <n v="-345"/>
  </r>
  <r>
    <x v="0"/>
    <x v="78"/>
    <n v="6.3068999999999997"/>
    <n v="50"/>
    <n v="946"/>
    <n v="1292.4584179377562"/>
    <x v="2"/>
    <n v="5"/>
    <n v="4"/>
    <n v="51"/>
    <n v="5"/>
    <x v="0"/>
    <n v="8.4670497708619905"/>
    <x v="2"/>
    <x v="0"/>
    <n v="25"/>
    <n v="858"/>
    <n v="21"/>
    <n v="71.126499999999993"/>
    <x v="0"/>
    <n v="4.0968813324704518"/>
    <x v="3"/>
    <x v="1"/>
    <n v="323.59219999999999"/>
    <n v="889.27266816689416"/>
    <n v="-896"/>
  </r>
  <r>
    <x v="0"/>
    <x v="79"/>
    <n v="57.057000000000002"/>
    <n v="56"/>
    <n v="198"/>
    <n v="7888.7232684270812"/>
    <x v="0"/>
    <n v="31"/>
    <n v="25"/>
    <n v="20"/>
    <n v="1"/>
    <x v="0"/>
    <n v="6.4963253642950445"/>
    <x v="0"/>
    <x v="3"/>
    <n v="5"/>
    <n v="228"/>
    <n v="12"/>
    <n v="57.870899999999999"/>
    <x v="0"/>
    <n v="0.16587162748060824"/>
    <x v="1"/>
    <x v="1"/>
    <n v="351.50420000000003"/>
    <n v="7472.8518430627864"/>
    <n v="-142"/>
  </r>
  <r>
    <x v="1"/>
    <x v="80"/>
    <n v="91.128299999999996"/>
    <n v="75"/>
    <n v="872"/>
    <n v="8651.6726829820655"/>
    <x v="2"/>
    <n v="39"/>
    <n v="14"/>
    <n v="41"/>
    <n v="2"/>
    <x v="2"/>
    <n v="2.8331846794189746"/>
    <x v="0"/>
    <x v="4"/>
    <n v="8"/>
    <n v="202"/>
    <n v="5"/>
    <n v="76.961200000000005"/>
    <x v="1"/>
    <n v="2.8496621985053308"/>
    <x v="3"/>
    <x v="0"/>
    <n v="787.7799"/>
    <n v="7784.0983983026463"/>
    <n v="-797"/>
  </r>
  <r>
    <x v="0"/>
    <x v="81"/>
    <n v="72.819199999999995"/>
    <n v="9"/>
    <n v="774"/>
    <n v="4384.4134000458625"/>
    <x v="2"/>
    <n v="48"/>
    <n v="6"/>
    <n v="8"/>
    <n v="5"/>
    <x v="0"/>
    <n v="4.0662775015120438"/>
    <x v="0"/>
    <x v="2"/>
    <n v="28"/>
    <n v="698"/>
    <n v="1"/>
    <n v="19.7896"/>
    <x v="0"/>
    <n v="2.5475471215487118"/>
    <x v="2"/>
    <x v="0"/>
    <n v="276.7783"/>
    <n v="4083.7792225443504"/>
    <n v="-765"/>
  </r>
  <r>
    <x v="1"/>
    <x v="82"/>
    <n v="17.0349"/>
    <n v="13"/>
    <n v="336"/>
    <n v="2943.3818676094515"/>
    <x v="2"/>
    <n v="42"/>
    <n v="19"/>
    <n v="72"/>
    <n v="1"/>
    <x v="1"/>
    <n v="4.7081818735419301"/>
    <x v="4"/>
    <x v="0"/>
    <n v="6"/>
    <n v="955"/>
    <n v="26"/>
    <n v="4.4653"/>
    <x v="0"/>
    <n v="4.1378770486223573"/>
    <x v="0"/>
    <x v="1"/>
    <n v="589.97860000000003"/>
    <n v="2344.2297857359094"/>
    <n v="-323"/>
  </r>
  <r>
    <x v="0"/>
    <x v="83"/>
    <n v="68.911199999999994"/>
    <n v="82"/>
    <n v="663"/>
    <n v="2411.754632110491"/>
    <x v="2"/>
    <n v="65"/>
    <n v="24"/>
    <n v="7"/>
    <n v="8"/>
    <x v="0"/>
    <n v="4.9498395779969488"/>
    <x v="1"/>
    <x v="3"/>
    <n v="20"/>
    <n v="443"/>
    <n v="5"/>
    <n v="97.730599999999995"/>
    <x v="1"/>
    <n v="0.77300613406724783"/>
    <x v="0"/>
    <x v="2"/>
    <n v="682.971"/>
    <n v="1626.1031925324942"/>
    <n v="-581"/>
  </r>
  <r>
    <x v="0"/>
    <x v="84"/>
    <n v="89.104399999999998"/>
    <n v="99"/>
    <n v="618"/>
    <n v="2048.2900998487103"/>
    <x v="2"/>
    <n v="73"/>
    <n v="26"/>
    <n v="80"/>
    <n v="10"/>
    <x v="1"/>
    <n v="8.381615624922631"/>
    <x v="2"/>
    <x v="4"/>
    <n v="24"/>
    <n v="589"/>
    <n v="22"/>
    <n v="33.808599999999998"/>
    <x v="2"/>
    <n v="4.8434565771180411"/>
    <x v="1"/>
    <x v="0"/>
    <n v="465.45699999999999"/>
    <n v="1540.6428842237876"/>
    <n v="-519"/>
  </r>
  <r>
    <x v="2"/>
    <x v="85"/>
    <n v="76.962999999999994"/>
    <n v="83"/>
    <n v="25"/>
    <n v="8684.6130592538575"/>
    <x v="1"/>
    <n v="15"/>
    <n v="18"/>
    <n v="66"/>
    <n v="2"/>
    <x v="2"/>
    <n v="8.2491687048717282"/>
    <x v="2"/>
    <x v="4"/>
    <n v="4"/>
    <n v="211"/>
    <n v="2"/>
    <n v="69.929299999999998"/>
    <x v="1"/>
    <n v="1.3744289997457582"/>
    <x v="0"/>
    <x v="0"/>
    <n v="842.68679999999995"/>
    <n v="7763.7477905489859"/>
    <n v="58"/>
  </r>
  <r>
    <x v="1"/>
    <x v="86"/>
    <n v="19.998200000000001"/>
    <n v="18"/>
    <n v="223"/>
    <n v="1229.5910285649834"/>
    <x v="2"/>
    <n v="32"/>
    <n v="14"/>
    <n v="22"/>
    <n v="6"/>
    <x v="0"/>
    <n v="1.4543053101535515"/>
    <x v="1"/>
    <x v="0"/>
    <n v="4"/>
    <n v="569"/>
    <n v="18"/>
    <n v="74.608999999999995"/>
    <x v="2"/>
    <n v="2.0515129307662465"/>
    <x v="2"/>
    <x v="2"/>
    <n v="264.25490000000002"/>
    <n v="889.27282325482975"/>
    <n v="-205"/>
  </r>
  <r>
    <x v="0"/>
    <x v="87"/>
    <n v="80.414000000000001"/>
    <n v="24"/>
    <n v="79"/>
    <n v="5133.8467010866916"/>
    <x v="3"/>
    <n v="5"/>
    <n v="7"/>
    <n v="55"/>
    <n v="10"/>
    <x v="1"/>
    <n v="6.5758037975485353"/>
    <x v="0"/>
    <x v="4"/>
    <n v="27"/>
    <n v="523"/>
    <n v="17"/>
    <n v="28.696999999999999"/>
    <x v="1"/>
    <n v="3.6937377878392756"/>
    <x v="3"/>
    <x v="0"/>
    <n v="879.35919999999999"/>
    <n v="4219.2146972891433"/>
    <n v="-55"/>
  </r>
  <r>
    <x v="2"/>
    <x v="88"/>
    <n v="75.270399999999995"/>
    <n v="58"/>
    <n v="737"/>
    <n v="9444.7420330629793"/>
    <x v="3"/>
    <n v="60"/>
    <n v="18"/>
    <n v="85"/>
    <n v="7"/>
    <x v="1"/>
    <n v="3.8012531329310777"/>
    <x v="4"/>
    <x v="0"/>
    <n v="21"/>
    <n v="953"/>
    <n v="11"/>
    <n v="68.184899999999999"/>
    <x v="0"/>
    <n v="0.722204401882931"/>
    <x v="3"/>
    <x v="2"/>
    <n v="103.9162"/>
    <n v="9268.8396799300481"/>
    <n v="-679"/>
  </r>
  <r>
    <x v="2"/>
    <x v="89"/>
    <n v="97.760099999999994"/>
    <n v="10"/>
    <n v="134"/>
    <n v="5924.682566853231"/>
    <x v="2"/>
    <n v="90"/>
    <n v="1"/>
    <n v="27"/>
    <n v="8"/>
    <x v="0"/>
    <n v="9.9298162452772587"/>
    <x v="1"/>
    <x v="1"/>
    <n v="23"/>
    <n v="370"/>
    <n v="11"/>
    <n v="46.603900000000003"/>
    <x v="0"/>
    <n v="1.9076657339590746"/>
    <x v="2"/>
    <x v="0"/>
    <n v="517.5"/>
    <n v="5350.648850607954"/>
    <n v="-124"/>
  </r>
  <r>
    <x v="1"/>
    <x v="90"/>
    <n v="13.8819"/>
    <n v="56"/>
    <n v="320"/>
    <n v="9592.6335702803117"/>
    <x v="0"/>
    <n v="66"/>
    <n v="18"/>
    <n v="96"/>
    <n v="7"/>
    <x v="0"/>
    <n v="7.6744307081126939"/>
    <x v="0"/>
    <x v="3"/>
    <n v="8"/>
    <n v="585"/>
    <n v="8"/>
    <n v="85.676000000000002"/>
    <x v="2"/>
    <n v="1.2193822244013885"/>
    <x v="2"/>
    <x v="0"/>
    <n v="990.07849999999996"/>
    <n v="8509.2046395721991"/>
    <n v="-264"/>
  </r>
  <r>
    <x v="2"/>
    <x v="91"/>
    <n v="62.112000000000002"/>
    <n v="90"/>
    <n v="916"/>
    <n v="1935.2067935075991"/>
    <x v="3"/>
    <n v="98"/>
    <n v="22"/>
    <n v="85"/>
    <n v="7"/>
    <x v="0"/>
    <n v="7.4715140844011456"/>
    <x v="3"/>
    <x v="2"/>
    <n v="5"/>
    <n v="207"/>
    <n v="28"/>
    <n v="39.7729"/>
    <x v="0"/>
    <n v="0.62600185820939458"/>
    <x v="2"/>
    <x v="0"/>
    <n v="996.77829999999994"/>
    <n v="891.184079423198"/>
    <n v="-826"/>
  </r>
  <r>
    <x v="2"/>
    <x v="92"/>
    <n v="47.714199999999998"/>
    <n v="44"/>
    <n v="276"/>
    <n v="2100.1297546259366"/>
    <x v="3"/>
    <n v="90"/>
    <n v="25"/>
    <n v="10"/>
    <n v="8"/>
    <x v="0"/>
    <n v="4.4695000261236011"/>
    <x v="4"/>
    <x v="0"/>
    <n v="4"/>
    <n v="671"/>
    <n v="29"/>
    <n v="62.612699999999997"/>
    <x v="2"/>
    <n v="0.33343182522473924"/>
    <x v="2"/>
    <x v="0"/>
    <n v="230.09280000000001"/>
    <n v="1802.954754599813"/>
    <n v="-232"/>
  </r>
  <r>
    <x v="0"/>
    <x v="93"/>
    <n v="69.290800000000004"/>
    <n v="88"/>
    <n v="114"/>
    <n v="4531.4021336919095"/>
    <x v="2"/>
    <n v="63"/>
    <n v="17"/>
    <n v="66"/>
    <n v="1"/>
    <x v="2"/>
    <n v="7.0064320590043945"/>
    <x v="3"/>
    <x v="4"/>
    <n v="21"/>
    <n v="824"/>
    <n v="20"/>
    <n v="35.633699999999997"/>
    <x v="1"/>
    <n v="4.1657817954241452"/>
    <x v="1"/>
    <x v="2"/>
    <n v="823.52380000000005"/>
    <n v="3665.2382016329052"/>
    <n v="-26"/>
  </r>
  <r>
    <x v="2"/>
    <x v="94"/>
    <n v="3.0377000000000001"/>
    <n v="97"/>
    <n v="987"/>
    <n v="7888.3565466618729"/>
    <x v="2"/>
    <n v="77"/>
    <n v="26"/>
    <n v="72"/>
    <n v="9"/>
    <x v="0"/>
    <n v="6.9429459420325808"/>
    <x v="4"/>
    <x v="2"/>
    <n v="12"/>
    <n v="908"/>
    <n v="14"/>
    <n v="60.3874"/>
    <x v="2"/>
    <n v="1.4636074984727798"/>
    <x v="2"/>
    <x v="0"/>
    <n v="846.6653"/>
    <n v="6974.3609007198402"/>
    <n v="-890"/>
  </r>
  <r>
    <x v="0"/>
    <x v="95"/>
    <n v="77.903899999999993"/>
    <n v="65"/>
    <n v="672"/>
    <n v="7386.3639440486641"/>
    <x v="2"/>
    <n v="15"/>
    <n v="14"/>
    <n v="26"/>
    <n v="9"/>
    <x v="0"/>
    <n v="8.6303388696027543"/>
    <x v="3"/>
    <x v="0"/>
    <n v="18"/>
    <n v="450"/>
    <n v="26"/>
    <n v="58.890700000000002"/>
    <x v="0"/>
    <n v="1.2108821295850665"/>
    <x v="1"/>
    <x v="2"/>
    <n v="778.86419999999998"/>
    <n v="6539.9787051790609"/>
    <n v="-607"/>
  </r>
  <r>
    <x v="2"/>
    <x v="96"/>
    <n v="24.423100000000002"/>
    <n v="29"/>
    <n v="324"/>
    <n v="7698.4247656321168"/>
    <x v="0"/>
    <n v="67"/>
    <n v="2"/>
    <n v="32"/>
    <n v="3"/>
    <x v="2"/>
    <n v="5.3528780439968093"/>
    <x v="0"/>
    <x v="0"/>
    <n v="28"/>
    <n v="648"/>
    <n v="28"/>
    <n v="17.803799999999999"/>
    <x v="0"/>
    <n v="3.8720476814821332"/>
    <x v="0"/>
    <x v="2"/>
    <n v="188.74209999999999"/>
    <n v="7486.5259875881202"/>
    <n v="-295"/>
  </r>
  <r>
    <x v="0"/>
    <x v="97"/>
    <n v="3.5261"/>
    <n v="56"/>
    <n v="62"/>
    <n v="4370.9165799845359"/>
    <x v="3"/>
    <n v="46"/>
    <n v="19"/>
    <n v="4"/>
    <n v="9"/>
    <x v="1"/>
    <n v="7.9048456112096748"/>
    <x v="3"/>
    <x v="0"/>
    <n v="10"/>
    <n v="535"/>
    <n v="13"/>
    <n v="65.765199999999993"/>
    <x v="1"/>
    <n v="3.3762378347179811"/>
    <x v="0"/>
    <x v="2"/>
    <n v="540.13239999999996"/>
    <n v="3757.1141343733261"/>
    <n v="-6"/>
  </r>
  <r>
    <x v="1"/>
    <x v="98"/>
    <n v="19.7546"/>
    <n v="43"/>
    <n v="913"/>
    <n v="8525.9525596835265"/>
    <x v="1"/>
    <n v="53"/>
    <n v="1"/>
    <n v="27"/>
    <n v="7"/>
    <x v="0"/>
    <n v="1.4098010951380731"/>
    <x v="2"/>
    <x v="4"/>
    <n v="28"/>
    <n v="581"/>
    <n v="9"/>
    <n v="5.6047000000000002"/>
    <x v="0"/>
    <n v="2.9081221693512611"/>
    <x v="2"/>
    <x v="2"/>
    <n v="882.19889999999998"/>
    <n v="7636.7391585883888"/>
    <n v="-870"/>
  </r>
  <r>
    <x v="0"/>
    <x v="99"/>
    <n v="68.517799999999994"/>
    <n v="17"/>
    <n v="627"/>
    <n v="9185.1858291817043"/>
    <x v="2"/>
    <n v="55"/>
    <n v="8"/>
    <n v="59"/>
    <n v="6"/>
    <x v="0"/>
    <n v="1.3110237561206226"/>
    <x v="4"/>
    <x v="4"/>
    <n v="29"/>
    <n v="921"/>
    <n v="2"/>
    <n v="38.072899999999997"/>
    <x v="1"/>
    <n v="0.34602729070550342"/>
    <x v="2"/>
    <x v="0"/>
    <n v="210.74299999999999"/>
    <n v="8935.0589054255834"/>
    <n v="-6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89FCD6-ECD9-4D37-A07D-BED459BF5E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C5" firstHeaderRow="0" firstDataRow="1" firstDataCol="1"/>
  <pivotFields count="26">
    <pivotField axis="axisRow" showAll="0">
      <items count="4">
        <item x="2"/>
        <item x="0"/>
        <item x="1"/>
        <item t="default"/>
      </items>
    </pivotField>
    <pivotField showAll="0"/>
    <pivotField numFmtId="164" showAll="0"/>
    <pivotField showAll="0"/>
    <pivotField dataField="1" showAll="0"/>
    <pivotField numFmtId="164" showAll="0"/>
    <pivotField showAll="0">
      <items count="5">
        <item x="1"/>
        <item x="3"/>
        <item x="0"/>
        <item x="2"/>
        <item t="default"/>
      </items>
    </pivotField>
    <pivotField showAll="0"/>
    <pivotField showAll="0"/>
    <pivotField showAll="0"/>
    <pivotField showAll="0"/>
    <pivotField showAll="0"/>
    <pivotField numFmtId="164" showAll="0"/>
    <pivotField showAll="0"/>
    <pivotField showAll="0">
      <items count="6">
        <item x="3"/>
        <item x="4"/>
        <item x="2"/>
        <item x="1"/>
        <item x="0"/>
        <item t="default"/>
      </items>
    </pivotField>
    <pivotField showAll="0"/>
    <pivotField showAll="0"/>
    <pivotField showAll="0"/>
    <pivotField numFmtId="164" showAll="0"/>
    <pivotField showAll="0"/>
    <pivotField showAll="0"/>
    <pivotField showAll="0"/>
    <pivotField showAll="0"/>
    <pivotField numFmtId="164" showAll="0"/>
    <pivotField dataField="1" numFmtId="164" showAll="0"/>
    <pivotField numFmtId="2" showAll="0"/>
  </pivotFields>
  <rowFields count="1">
    <field x="0"/>
  </rowFields>
  <rowItems count="4">
    <i>
      <x/>
    </i>
    <i>
      <x v="1"/>
    </i>
    <i>
      <x v="2"/>
    </i>
    <i t="grand">
      <x/>
    </i>
  </rowItems>
  <colFields count="1">
    <field x="-2"/>
  </colFields>
  <colItems count="2">
    <i>
      <x/>
    </i>
    <i i="1">
      <x v="1"/>
    </i>
  </colItems>
  <dataFields count="2">
    <dataField name="Sum of Number of products sold" fld="4" baseField="0" baseItem="0"/>
    <dataField name="Sum of Profit" fld="24" baseField="0" baseItem="0" numFmtId="164"/>
  </dataFields>
  <chartFormats count="16">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0"/>
          </reference>
        </references>
      </pivotArea>
    </chartFormat>
    <chartFormat chart="0" format="5">
      <pivotArea type="data" outline="0" fieldPosition="0">
        <references count="2">
          <reference field="4294967294" count="1" selected="0">
            <x v="1"/>
          </reference>
          <reference field="0" count="1" selected="0">
            <x v="1"/>
          </reference>
        </references>
      </pivotArea>
    </chartFormat>
    <chartFormat chart="0" format="7">
      <pivotArea type="data" outline="0" fieldPosition="0">
        <references count="2">
          <reference field="4294967294" count="1" selected="0">
            <x v="1"/>
          </reference>
          <reference field="0" count="1" selected="0">
            <x v="2"/>
          </reference>
        </references>
      </pivotArea>
    </chartFormat>
    <chartFormat chart="0" format="8"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2"/>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0" count="1" selected="0">
            <x v="0"/>
          </reference>
        </references>
      </pivotArea>
    </chartFormat>
    <chartFormat chart="18" format="22">
      <pivotArea type="data" outline="0" fieldPosition="0">
        <references count="2">
          <reference field="4294967294" count="1" selected="0">
            <x v="0"/>
          </reference>
          <reference field="0" count="1" selected="0">
            <x v="1"/>
          </reference>
        </references>
      </pivotArea>
    </chartFormat>
    <chartFormat chart="18" format="23">
      <pivotArea type="data" outline="0" fieldPosition="0">
        <references count="2">
          <reference field="4294967294" count="1" selected="0">
            <x v="0"/>
          </reference>
          <reference field="0" count="1" selected="0">
            <x v="2"/>
          </reference>
        </references>
      </pivotArea>
    </chartFormat>
    <chartFormat chart="18" format="24" series="1">
      <pivotArea type="data" outline="0" fieldPosition="0">
        <references count="1">
          <reference field="4294967294" count="1" selected="0">
            <x v="1"/>
          </reference>
        </references>
      </pivotArea>
    </chartFormat>
    <chartFormat chart="18" format="25">
      <pivotArea type="data" outline="0" fieldPosition="0">
        <references count="2">
          <reference field="4294967294" count="1" selected="0">
            <x v="1"/>
          </reference>
          <reference field="0" count="1" selected="0">
            <x v="0"/>
          </reference>
        </references>
      </pivotArea>
    </chartFormat>
    <chartFormat chart="18" format="26">
      <pivotArea type="data" outline="0" fieldPosition="0">
        <references count="2">
          <reference field="4294967294" count="1" selected="0">
            <x v="1"/>
          </reference>
          <reference field="0" count="1" selected="0">
            <x v="1"/>
          </reference>
        </references>
      </pivotArea>
    </chartFormat>
    <chartFormat chart="18" format="27">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497BA3-343B-43D4-BE3F-7EF7E824931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22:B43" firstHeaderRow="1" firstDataRow="1" firstDataCol="1"/>
  <pivotFields count="26">
    <pivotField showAll="0">
      <items count="4">
        <item x="2"/>
        <item x="0"/>
        <item x="1"/>
        <item t="default"/>
      </items>
    </pivotField>
    <pivotField axis="axisRow" showAll="0" measureFilter="1">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items count="5">
        <item x="1"/>
        <item x="3"/>
        <item x="0"/>
        <item x="2"/>
        <item t="default"/>
      </items>
    </pivotField>
    <pivotField showAll="0"/>
    <pivotField showAll="0"/>
    <pivotField showAll="0"/>
    <pivotField showAll="0"/>
    <pivotField showAll="0"/>
    <pivotField numFmtId="164" showAll="0"/>
    <pivotField showAll="0"/>
    <pivotField showAll="0">
      <items count="6">
        <item x="3"/>
        <item x="4"/>
        <item x="2"/>
        <item x="1"/>
        <item x="0"/>
        <item t="default"/>
      </items>
    </pivotField>
    <pivotField showAll="0"/>
    <pivotField showAll="0"/>
    <pivotField showAll="0"/>
    <pivotField numFmtId="164" showAll="0"/>
    <pivotField showAll="0"/>
    <pivotField showAll="0"/>
    <pivotField showAll="0"/>
    <pivotField showAll="0"/>
    <pivotField numFmtId="164" showAll="0"/>
    <pivotField dataField="1" numFmtId="164" showAll="0"/>
    <pivotField numFmtId="2" showAll="0"/>
  </pivotFields>
  <rowFields count="1">
    <field x="1"/>
  </rowFields>
  <rowItems count="21">
    <i>
      <x/>
    </i>
    <i>
      <x v="10"/>
    </i>
    <i>
      <x v="12"/>
    </i>
    <i>
      <x v="16"/>
    </i>
    <i>
      <x v="17"/>
    </i>
    <i>
      <x v="25"/>
    </i>
    <i>
      <x v="26"/>
    </i>
    <i>
      <x v="28"/>
    </i>
    <i>
      <x v="32"/>
    </i>
    <i>
      <x v="47"/>
    </i>
    <i>
      <x v="48"/>
    </i>
    <i>
      <x v="57"/>
    </i>
    <i>
      <x v="62"/>
    </i>
    <i>
      <x v="63"/>
    </i>
    <i>
      <x v="64"/>
    </i>
    <i>
      <x v="79"/>
    </i>
    <i>
      <x v="84"/>
    </i>
    <i>
      <x v="87"/>
    </i>
    <i>
      <x v="90"/>
    </i>
    <i>
      <x v="99"/>
    </i>
    <i t="grand">
      <x/>
    </i>
  </rowItems>
  <colItems count="1">
    <i/>
  </colItems>
  <dataFields count="1">
    <dataField name="Sum of Profit" fld="24" baseField="0" baseItem="0" numFmtId="164"/>
  </dataFields>
  <pivotTableStyleInfo name="PivotStyleLight16" showRowHeaders="1" showColHeaders="1" showRowStripes="0" showColStripes="0" showLastColumn="1"/>
  <filters count="1">
    <filter fld="1"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F9F0E4-7915-4BB5-82F0-0BDC949170D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20" firstHeaderRow="1" firstDataRow="1" firstDataCol="1"/>
  <pivotFields count="26">
    <pivotField showAll="0">
      <items count="4">
        <item x="2"/>
        <item x="0"/>
        <item x="1"/>
        <item t="default"/>
      </items>
    </pivotField>
    <pivotField showAll="0"/>
    <pivotField numFmtId="164" showAll="0"/>
    <pivotField showAll="0"/>
    <pivotField showAll="0"/>
    <pivotField numFmtId="164" showAll="0"/>
    <pivotField axis="axisRow" dataField="1" showAll="0">
      <items count="5">
        <item x="1"/>
        <item x="3"/>
        <item x="0"/>
        <item x="2"/>
        <item t="default"/>
      </items>
    </pivotField>
    <pivotField showAll="0"/>
    <pivotField showAll="0"/>
    <pivotField showAll="0"/>
    <pivotField showAll="0"/>
    <pivotField showAll="0"/>
    <pivotField numFmtId="164" showAll="0"/>
    <pivotField showAll="0"/>
    <pivotField showAll="0">
      <items count="6">
        <item x="3"/>
        <item x="4"/>
        <item x="2"/>
        <item x="1"/>
        <item x="0"/>
        <item t="default"/>
      </items>
    </pivotField>
    <pivotField showAll="0"/>
    <pivotField showAll="0"/>
    <pivotField showAll="0"/>
    <pivotField numFmtId="164" showAll="0"/>
    <pivotField showAll="0"/>
    <pivotField showAll="0"/>
    <pivotField showAll="0"/>
    <pivotField showAll="0"/>
    <pivotField numFmtId="164" showAll="0"/>
    <pivotField numFmtId="164" showAll="0"/>
    <pivotField numFmtId="2" showAll="0"/>
  </pivotFields>
  <rowFields count="1">
    <field x="6"/>
  </rowFields>
  <rowItems count="5">
    <i>
      <x/>
    </i>
    <i>
      <x v="1"/>
    </i>
    <i>
      <x v="2"/>
    </i>
    <i>
      <x v="3"/>
    </i>
    <i t="grand">
      <x/>
    </i>
  </rowItems>
  <colItems count="1">
    <i/>
  </colItems>
  <dataFields count="1">
    <dataField name="Count of Customer demographics" fld="6" subtotal="count" baseField="0" baseItem="0"/>
  </dataField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A4D2CA-00A2-4B77-A217-D7A0474FA6A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D13" firstHeaderRow="0" firstDataRow="1" firstDataCol="1"/>
  <pivotFields count="26">
    <pivotField showAll="0">
      <items count="4">
        <item x="2"/>
        <item x="0"/>
        <item x="1"/>
        <item t="default"/>
      </items>
    </pivotField>
    <pivotField showAll="0"/>
    <pivotField numFmtId="164" showAll="0"/>
    <pivotField showAll="0"/>
    <pivotField showAll="0"/>
    <pivotField dataField="1" numFmtId="164" showAll="0"/>
    <pivotField showAll="0">
      <items count="5">
        <item x="1"/>
        <item x="3"/>
        <item x="0"/>
        <item x="2"/>
        <item t="default"/>
      </items>
    </pivotField>
    <pivotField showAll="0"/>
    <pivotField showAll="0"/>
    <pivotField dataField="1" showAll="0"/>
    <pivotField showAll="0"/>
    <pivotField showAll="0"/>
    <pivotField numFmtId="164" showAll="0"/>
    <pivotField showAll="0"/>
    <pivotField axis="axisRow" showAll="0">
      <items count="6">
        <item x="3"/>
        <item x="4"/>
        <item x="2"/>
        <item x="1"/>
        <item x="0"/>
        <item t="default"/>
      </items>
    </pivotField>
    <pivotField showAll="0"/>
    <pivotField showAll="0"/>
    <pivotField showAll="0"/>
    <pivotField numFmtId="164" showAll="0"/>
    <pivotField showAll="0"/>
    <pivotField showAll="0"/>
    <pivotField showAll="0"/>
    <pivotField showAll="0"/>
    <pivotField numFmtId="164" showAll="0"/>
    <pivotField dataField="1" numFmtId="164" showAll="0"/>
    <pivotField numFmtId="2" showAll="0"/>
  </pivotFields>
  <rowFields count="1">
    <field x="14"/>
  </rowFields>
  <rowItems count="6">
    <i>
      <x/>
    </i>
    <i>
      <x v="1"/>
    </i>
    <i>
      <x v="2"/>
    </i>
    <i>
      <x v="3"/>
    </i>
    <i>
      <x v="4"/>
    </i>
    <i t="grand">
      <x/>
    </i>
  </rowItems>
  <colFields count="1">
    <field x="-2"/>
  </colFields>
  <colItems count="3">
    <i>
      <x/>
    </i>
    <i i="1">
      <x v="1"/>
    </i>
    <i i="2">
      <x v="2"/>
    </i>
  </colItems>
  <dataFields count="3">
    <dataField name="Sum of Order quantities" fld="9" baseField="0" baseItem="0"/>
    <dataField name="Sum of Revenue generated" fld="5" baseField="0" baseItem="0" numFmtId="164"/>
    <dataField name="Sum of Profit" fld="24" baseField="0" baseItem="0" numFmtId="164"/>
  </dataFields>
  <chartFormats count="21">
    <chartFormat chart="0" format="10" series="1">
      <pivotArea type="data" outline="0" fieldPosition="0">
        <references count="1">
          <reference field="14" count="1" selected="0">
            <x v="0"/>
          </reference>
        </references>
      </pivotArea>
    </chartFormat>
    <chartFormat chart="0" format="11" series="1">
      <pivotArea type="data" outline="0" fieldPosition="0">
        <references count="1">
          <reference field="14" count="1" selected="0">
            <x v="1"/>
          </reference>
        </references>
      </pivotArea>
    </chartFormat>
    <chartFormat chart="0" format="12" series="1">
      <pivotArea type="data" outline="0" fieldPosition="0">
        <references count="1">
          <reference field="14" count="1" selected="0">
            <x v="2"/>
          </reference>
        </references>
      </pivotArea>
    </chartFormat>
    <chartFormat chart="0" format="13" series="1">
      <pivotArea type="data" outline="0" fieldPosition="0">
        <references count="1">
          <reference field="14" count="1" selected="0">
            <x v="3"/>
          </reference>
        </references>
      </pivotArea>
    </chartFormat>
    <chartFormat chart="0" format="14" series="1">
      <pivotArea type="data" outline="0" fieldPosition="0">
        <references count="1">
          <reference field="14" count="1" selected="0">
            <x v="4"/>
          </reference>
        </references>
      </pivotArea>
    </chartFormat>
    <chartFormat chart="4" format="25" series="1">
      <pivotArea type="data" outline="0" fieldPosition="0">
        <references count="2">
          <reference field="4294967294" count="1" selected="0">
            <x v="0"/>
          </reference>
          <reference field="14" count="1" selected="0">
            <x v="0"/>
          </reference>
        </references>
      </pivotArea>
    </chartFormat>
    <chartFormat chart="4" format="26" series="1">
      <pivotArea type="data" outline="0" fieldPosition="0">
        <references count="2">
          <reference field="4294967294" count="1" selected="0">
            <x v="0"/>
          </reference>
          <reference field="14" count="1" selected="0">
            <x v="1"/>
          </reference>
        </references>
      </pivotArea>
    </chartFormat>
    <chartFormat chart="4" format="27" series="1">
      <pivotArea type="data" outline="0" fieldPosition="0">
        <references count="2">
          <reference field="4294967294" count="1" selected="0">
            <x v="0"/>
          </reference>
          <reference field="14" count="1" selected="0">
            <x v="2"/>
          </reference>
        </references>
      </pivotArea>
    </chartFormat>
    <chartFormat chart="4" format="28" series="1">
      <pivotArea type="data" outline="0" fieldPosition="0">
        <references count="2">
          <reference field="4294967294" count="1" selected="0">
            <x v="0"/>
          </reference>
          <reference field="14" count="1" selected="0">
            <x v="3"/>
          </reference>
        </references>
      </pivotArea>
    </chartFormat>
    <chartFormat chart="4" format="29" series="1">
      <pivotArea type="data" outline="0" fieldPosition="0">
        <references count="2">
          <reference field="4294967294" count="1" selected="0">
            <x v="0"/>
          </reference>
          <reference field="14" count="1" selected="0">
            <x v="4"/>
          </reference>
        </references>
      </pivotArea>
    </chartFormat>
    <chartFormat chart="0" format="20" series="1">
      <pivotArea type="data" outline="0" fieldPosition="0">
        <references count="2">
          <reference field="4294967294" count="1" selected="0">
            <x v="0"/>
          </reference>
          <reference field="14" count="1" selected="0">
            <x v="1"/>
          </reference>
        </references>
      </pivotArea>
    </chartFormat>
    <chartFormat chart="0" format="21" series="1">
      <pivotArea type="data" outline="0" fieldPosition="0">
        <references count="2">
          <reference field="4294967294" count="1" selected="0">
            <x v="0"/>
          </reference>
          <reference field="14" count="1" selected="0">
            <x v="2"/>
          </reference>
        </references>
      </pivotArea>
    </chartFormat>
    <chartFormat chart="0" format="22" series="1">
      <pivotArea type="data" outline="0" fieldPosition="0">
        <references count="2">
          <reference field="4294967294" count="1" selected="0">
            <x v="0"/>
          </reference>
          <reference field="14" count="1" selected="0">
            <x v="3"/>
          </reference>
        </references>
      </pivotArea>
    </chartFormat>
    <chartFormat chart="0" format="23" series="1">
      <pivotArea type="data" outline="0" fieldPosition="0">
        <references count="2">
          <reference field="4294967294" count="1" selected="0">
            <x v="0"/>
          </reference>
          <reference field="14" count="1" selected="0">
            <x v="4"/>
          </reference>
        </references>
      </pivotArea>
    </chartFormat>
    <chartFormat chart="0" format="24" series="1">
      <pivotArea type="data" outline="0" fieldPosition="0">
        <references count="2">
          <reference field="4294967294" count="1" selected="0">
            <x v="0"/>
          </reference>
          <reference field="14" count="1" selected="0">
            <x v="0"/>
          </reference>
        </references>
      </pivotArea>
    </chartFormat>
    <chartFormat chart="4" format="30" series="1">
      <pivotArea type="data" outline="0" fieldPosition="0">
        <references count="1">
          <reference field="4294967294" count="1" selected="0">
            <x v="0"/>
          </reference>
        </references>
      </pivotArea>
    </chartFormat>
    <chartFormat chart="0" format="25" series="1">
      <pivotArea type="data" outline="0" fieldPosition="0">
        <references count="1">
          <reference field="4294967294" count="1" selected="0">
            <x v="0"/>
          </reference>
        </references>
      </pivotArea>
    </chartFormat>
    <chartFormat chart="4" format="31" series="1">
      <pivotArea type="data" outline="0" fieldPosition="0">
        <references count="1">
          <reference field="4294967294" count="1" selected="0">
            <x v="1"/>
          </reference>
        </references>
      </pivotArea>
    </chartFormat>
    <chartFormat chart="0" format="26" series="1">
      <pivotArea type="data" outline="0" fieldPosition="0">
        <references count="1">
          <reference field="4294967294" count="1" selected="0">
            <x v="1"/>
          </reference>
        </references>
      </pivotArea>
    </chartFormat>
    <chartFormat chart="4" format="32" series="1">
      <pivotArea type="data" outline="0" fieldPosition="0">
        <references count="1">
          <reference field="4294967294" count="1" selected="0">
            <x v="2"/>
          </reference>
        </references>
      </pivotArea>
    </chartFormat>
    <chartFormat chart="0" format="2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06C45D-84A4-4093-909C-84A99A74FAAD}" name="PivotTable17" cacheId="0" applyNumberFormats="0" applyBorderFormats="0" applyFontFormats="0" applyPatternFormats="0" applyAlignmentFormats="0" applyWidthHeightFormats="1" dataCaption="Values" updatedVersion="8" minRefreshableVersion="3" rowGrandTotals="0" colGrandTotals="0" itemPrintTitles="1" mergeItem="1" createdVersion="8" indent="127" outline="1" outlineData="1" multipleFieldFilters="0" rowHeaderCaption="Carrier/Routes">
  <location ref="K31:N43" firstHeaderRow="0" firstDataRow="1" firstDataCol="1"/>
  <pivotFields count="26">
    <pivotField showAll="0">
      <items count="4">
        <item x="2"/>
        <item x="0"/>
        <item x="1"/>
        <item t="default"/>
      </items>
    </pivotField>
    <pivotField showAll="0"/>
    <pivotField numFmtId="164" showAll="0"/>
    <pivotField showAll="0"/>
    <pivotField showAll="0"/>
    <pivotField numFmtId="164" showAll="0"/>
    <pivotField showAll="0"/>
    <pivotField showAll="0"/>
    <pivotField showAll="0"/>
    <pivotField showAll="0"/>
    <pivotField dataField="1" showAll="0"/>
    <pivotField axis="axisRow" showAll="0" defaultSubtotal="0">
      <items count="3">
        <item x="1"/>
        <item x="0"/>
        <item x="2"/>
      </items>
    </pivotField>
    <pivotField dataField="1" numFmtId="164" showAll="0"/>
    <pivotField showAll="0"/>
    <pivotField showAll="0"/>
    <pivotField showAll="0"/>
    <pivotField showAll="0"/>
    <pivotField showAll="0"/>
    <pivotField numFmtId="164" showAll="0"/>
    <pivotField showAll="0"/>
    <pivotField showAll="0"/>
    <pivotField showAll="0"/>
    <pivotField axis="axisRow" showAll="0">
      <items count="4">
        <item x="2"/>
        <item x="0"/>
        <item x="1"/>
        <item t="default"/>
      </items>
    </pivotField>
    <pivotField dataField="1" numFmtId="164" showAll="0"/>
    <pivotField numFmtId="164" showAll="0"/>
    <pivotField numFmtId="2" showAll="0"/>
  </pivotFields>
  <rowFields count="2">
    <field x="11"/>
    <field x="22"/>
  </rowFields>
  <rowItems count="12">
    <i>
      <x/>
    </i>
    <i r="1">
      <x/>
    </i>
    <i r="1">
      <x v="1"/>
    </i>
    <i r="1">
      <x v="2"/>
    </i>
    <i>
      <x v="1"/>
    </i>
    <i r="1">
      <x/>
    </i>
    <i r="1">
      <x v="1"/>
    </i>
    <i r="1">
      <x v="2"/>
    </i>
    <i>
      <x v="2"/>
    </i>
    <i r="1">
      <x/>
    </i>
    <i r="1">
      <x v="1"/>
    </i>
    <i r="1">
      <x v="2"/>
    </i>
  </rowItems>
  <colFields count="1">
    <field x="-2"/>
  </colFields>
  <colItems count="3">
    <i>
      <x/>
    </i>
    <i i="1">
      <x v="1"/>
    </i>
    <i i="2">
      <x v="2"/>
    </i>
  </colItems>
  <dataFields count="3">
    <dataField name="Sum of Shipping times" fld="10" baseField="0" baseItem="0"/>
    <dataField name="Sum of Shipping costs" fld="12" baseField="0" baseItem="0" numFmtId="164"/>
    <dataField name="Sum of Costs" fld="23" baseField="0" baseItem="0" numFmtId="164"/>
  </dataFields>
  <formats count="2">
    <format dxfId="10">
      <pivotArea field="11" type="button" dataOnly="0" labelOnly="1" outline="0" axis="axisRow" fieldPosition="0"/>
    </format>
    <format dxfId="9">
      <pivotArea dataOnly="0" labelOnly="1" outline="0" fieldPosition="0">
        <references count="1">
          <reference field="4294967294" count="3">
            <x v="0"/>
            <x v="1"/>
            <x v="2"/>
          </reference>
        </references>
      </pivotArea>
    </format>
  </formats>
  <conditionalFormats count="3">
    <conditionalFormat priority="3">
      <pivotAreas count="1">
        <pivotArea outline="0" fieldPosition="0">
          <references count="1">
            <reference field="4294967294" count="1">
              <x v="0"/>
            </reference>
          </references>
        </pivotArea>
      </pivotAreas>
    </conditionalFormat>
    <conditionalFormat priority="2">
      <pivotAreas count="1">
        <pivotArea outline="0" fieldPosition="0">
          <references count="1">
            <reference field="4294967294" count="1">
              <x v="1"/>
            </reference>
          </references>
        </pivotArea>
      </pivotAreas>
    </conditionalFormat>
    <conditionalFormat priority="1">
      <pivotAreas count="1">
        <pivotArea outline="0" fieldPosition="0">
          <references count="1">
            <reference field="4294967294" count="1">
              <x v="2"/>
            </reference>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83B106-7899-41C3-8FCB-840F5C5DB11A}" name="PivotTable8"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17:T21" firstHeaderRow="0" firstDataRow="1" firstDataCol="1"/>
  <pivotFields count="26">
    <pivotField axis="axisRow" showAll="0">
      <items count="4">
        <item x="2"/>
        <item x="0"/>
        <item x="1"/>
        <item t="default"/>
      </items>
    </pivotField>
    <pivotField showAll="0"/>
    <pivotField numFmtId="164" showAll="0"/>
    <pivotField showAll="0"/>
    <pivotField showAll="0"/>
    <pivotField numFmtId="164" showAll="0"/>
    <pivotField showAll="0"/>
    <pivotField showAll="0"/>
    <pivotField dataField="1" showAll="0"/>
    <pivotField showAll="0"/>
    <pivotField dataField="1" showAll="0"/>
    <pivotField showAll="0"/>
    <pivotField numFmtId="164" showAll="0"/>
    <pivotField showAll="0"/>
    <pivotField showAll="0"/>
    <pivotField showAll="0"/>
    <pivotField showAll="0"/>
    <pivotField dataField="1" showAll="0"/>
    <pivotField numFmtId="164" showAll="0"/>
    <pivotField showAll="0"/>
    <pivotField showAll="0"/>
    <pivotField showAll="0"/>
    <pivotField showAll="0"/>
    <pivotField numFmtId="164" showAll="0"/>
    <pivotField numFmtId="164" showAll="0"/>
    <pivotField numFmtId="2" showAll="0"/>
  </pivotFields>
  <rowFields count="1">
    <field x="0"/>
  </rowFields>
  <rowItems count="4">
    <i>
      <x/>
    </i>
    <i>
      <x v="1"/>
    </i>
    <i>
      <x v="2"/>
    </i>
    <i t="grand">
      <x/>
    </i>
  </rowItems>
  <colFields count="1">
    <field x="-2"/>
  </colFields>
  <colItems count="3">
    <i>
      <x/>
    </i>
    <i i="1">
      <x v="1"/>
    </i>
    <i i="2">
      <x v="2"/>
    </i>
  </colItems>
  <dataFields count="3">
    <dataField name="Average of Manufacturing lead time" fld="17" subtotal="average" baseField="0" baseItem="0"/>
    <dataField name="Average of Shipping times" fld="10" subtotal="average" baseField="0" baseItem="0"/>
    <dataField name="Average of Lead times" fld="8" subtotal="average" baseField="0" baseItem="0"/>
  </dataFields>
  <chartFormats count="51">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0" series="1">
      <pivotArea type="data" outline="0" fieldPosition="0">
        <references count="2">
          <reference field="4294967294" count="1" selected="0">
            <x v="0"/>
          </reference>
          <reference field="0" count="1" selected="0">
            <x v="0"/>
          </reference>
        </references>
      </pivotArea>
    </chartFormat>
    <chartFormat chart="11" format="1" series="1">
      <pivotArea type="data" outline="0" fieldPosition="0">
        <references count="2">
          <reference field="4294967294" count="1" selected="0">
            <x v="0"/>
          </reference>
          <reference field="0" count="1" selected="0">
            <x v="1"/>
          </reference>
        </references>
      </pivotArea>
    </chartFormat>
    <chartFormat chart="11" format="2" series="1">
      <pivotArea type="data" outline="0" fieldPosition="0">
        <references count="2">
          <reference field="4294967294" count="1" selected="0">
            <x v="0"/>
          </reference>
          <reference field="0" count="1" selected="0">
            <x v="2"/>
          </reference>
        </references>
      </pivotArea>
    </chartFormat>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11" format="6">
      <pivotArea type="data" outline="0" fieldPosition="0">
        <references count="2">
          <reference field="4294967294" count="1" selected="0">
            <x v="2"/>
          </reference>
          <reference field="0" count="1" selected="0">
            <x v="0"/>
          </reference>
        </references>
      </pivotArea>
    </chartFormat>
    <chartFormat chart="11" format="7">
      <pivotArea type="data" outline="0" fieldPosition="0">
        <references count="2">
          <reference field="4294967294" count="1" selected="0">
            <x v="1"/>
          </reference>
          <reference field="0" count="1" selected="0">
            <x v="0"/>
          </reference>
        </references>
      </pivotArea>
    </chartFormat>
    <chartFormat chart="11" format="8">
      <pivotArea type="data" outline="0" fieldPosition="0">
        <references count="2">
          <reference field="4294967294" count="1" selected="0">
            <x v="0"/>
          </reference>
          <reference field="0" count="1" selected="0">
            <x v="0"/>
          </reference>
        </references>
      </pivotArea>
    </chartFormat>
    <chartFormat chart="11" format="9">
      <pivotArea type="data" outline="0" fieldPosition="0">
        <references count="2">
          <reference field="4294967294" count="1" selected="0">
            <x v="0"/>
          </reference>
          <reference field="0" count="1" selected="0">
            <x v="1"/>
          </reference>
        </references>
      </pivotArea>
    </chartFormat>
    <chartFormat chart="11" format="10">
      <pivotArea type="data" outline="0" fieldPosition="0">
        <references count="2">
          <reference field="4294967294" count="1" selected="0">
            <x v="1"/>
          </reference>
          <reference field="0" count="1" selected="0">
            <x v="1"/>
          </reference>
        </references>
      </pivotArea>
    </chartFormat>
    <chartFormat chart="11" format="11">
      <pivotArea type="data" outline="0" fieldPosition="0">
        <references count="2">
          <reference field="4294967294" count="1" selected="0">
            <x v="2"/>
          </reference>
          <reference field="0" count="1" selected="0">
            <x v="1"/>
          </reference>
        </references>
      </pivotArea>
    </chartFormat>
    <chartFormat chart="11" format="12">
      <pivotArea type="data" outline="0" fieldPosition="0">
        <references count="2">
          <reference field="4294967294" count="1" selected="0">
            <x v="2"/>
          </reference>
          <reference field="0" count="1" selected="0">
            <x v="2"/>
          </reference>
        </references>
      </pivotArea>
    </chartFormat>
    <chartFormat chart="11" format="13">
      <pivotArea type="data" outline="0" fieldPosition="0">
        <references count="2">
          <reference field="4294967294" count="1" selected="0">
            <x v="1"/>
          </reference>
          <reference field="0" count="1" selected="0">
            <x v="2"/>
          </reference>
        </references>
      </pivotArea>
    </chartFormat>
    <chartFormat chart="11" format="14">
      <pivotArea type="data" outline="0" fieldPosition="0">
        <references count="2">
          <reference field="4294967294" count="1" selected="0">
            <x v="0"/>
          </reference>
          <reference field="0" count="1" selected="0">
            <x v="2"/>
          </reference>
        </references>
      </pivotArea>
    </chartFormat>
    <chartFormat chart="14" format="27" series="1">
      <pivotArea type="data" outline="0" fieldPosition="0">
        <references count="1">
          <reference field="4294967294" count="1" selected="0">
            <x v="0"/>
          </reference>
        </references>
      </pivotArea>
    </chartFormat>
    <chartFormat chart="14" format="28">
      <pivotArea type="data" outline="0" fieldPosition="0">
        <references count="2">
          <reference field="4294967294" count="1" selected="0">
            <x v="0"/>
          </reference>
          <reference field="0" count="1" selected="0">
            <x v="0"/>
          </reference>
        </references>
      </pivotArea>
    </chartFormat>
    <chartFormat chart="14" format="29">
      <pivotArea type="data" outline="0" fieldPosition="0">
        <references count="2">
          <reference field="4294967294" count="1" selected="0">
            <x v="0"/>
          </reference>
          <reference field="0" count="1" selected="0">
            <x v="1"/>
          </reference>
        </references>
      </pivotArea>
    </chartFormat>
    <chartFormat chart="14" format="30">
      <pivotArea type="data" outline="0" fieldPosition="0">
        <references count="2">
          <reference field="4294967294" count="1" selected="0">
            <x v="0"/>
          </reference>
          <reference field="0" count="1" selected="0">
            <x v="2"/>
          </reference>
        </references>
      </pivotArea>
    </chartFormat>
    <chartFormat chart="14" format="31" series="1">
      <pivotArea type="data" outline="0" fieldPosition="0">
        <references count="1">
          <reference field="4294967294" count="1" selected="0">
            <x v="1"/>
          </reference>
        </references>
      </pivotArea>
    </chartFormat>
    <chartFormat chart="14" format="32">
      <pivotArea type="data" outline="0" fieldPosition="0">
        <references count="2">
          <reference field="4294967294" count="1" selected="0">
            <x v="1"/>
          </reference>
          <reference field="0" count="1" selected="0">
            <x v="0"/>
          </reference>
        </references>
      </pivotArea>
    </chartFormat>
    <chartFormat chart="14" format="33">
      <pivotArea type="data" outline="0" fieldPosition="0">
        <references count="2">
          <reference field="4294967294" count="1" selected="0">
            <x v="1"/>
          </reference>
          <reference field="0" count="1" selected="0">
            <x v="1"/>
          </reference>
        </references>
      </pivotArea>
    </chartFormat>
    <chartFormat chart="14" format="34">
      <pivotArea type="data" outline="0" fieldPosition="0">
        <references count="2">
          <reference field="4294967294" count="1" selected="0">
            <x v="1"/>
          </reference>
          <reference field="0" count="1" selected="0">
            <x v="2"/>
          </reference>
        </references>
      </pivotArea>
    </chartFormat>
    <chartFormat chart="14" format="35" series="1">
      <pivotArea type="data" outline="0" fieldPosition="0">
        <references count="1">
          <reference field="4294967294" count="1" selected="0">
            <x v="2"/>
          </reference>
        </references>
      </pivotArea>
    </chartFormat>
    <chartFormat chart="14" format="36">
      <pivotArea type="data" outline="0" fieldPosition="0">
        <references count="2">
          <reference field="4294967294" count="1" selected="0">
            <x v="2"/>
          </reference>
          <reference field="0" count="1" selected="0">
            <x v="0"/>
          </reference>
        </references>
      </pivotArea>
    </chartFormat>
    <chartFormat chart="14" format="37">
      <pivotArea type="data" outline="0" fieldPosition="0">
        <references count="2">
          <reference field="4294967294" count="1" selected="0">
            <x v="2"/>
          </reference>
          <reference field="0" count="1" selected="0">
            <x v="1"/>
          </reference>
        </references>
      </pivotArea>
    </chartFormat>
    <chartFormat chart="14" format="38">
      <pivotArea type="data" outline="0" fieldPosition="0">
        <references count="2">
          <reference field="4294967294" count="1" selected="0">
            <x v="2"/>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AA62C7-C04E-4C05-ACE1-83F49864BB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108" firstHeaderRow="0" firstDataRow="1" firstDataCol="1"/>
  <pivotFields count="26">
    <pivotField showAll="0">
      <items count="4">
        <item x="2"/>
        <item x="0"/>
        <item x="1"/>
        <item t="default"/>
      </items>
    </pivotField>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showAll="0"/>
    <pivotField showAll="0"/>
    <pivotField showAll="0"/>
    <pivotField showAll="0"/>
    <pivotField showAll="0">
      <items count="4">
        <item x="1"/>
        <item x="0"/>
        <item x="2"/>
        <item t="default"/>
      </items>
    </pivotField>
    <pivotField numFmtId="164" showAll="0"/>
    <pivotField showAll="0">
      <items count="6">
        <item x="1"/>
        <item x="4"/>
        <item x="0"/>
        <item x="3"/>
        <item x="2"/>
        <item t="default"/>
      </items>
    </pivotField>
    <pivotField showAll="0"/>
    <pivotField showAll="0"/>
    <pivotField showAll="0"/>
    <pivotField dataField="1" showAll="0"/>
    <pivotField numFmtId="164" showAll="0"/>
    <pivotField showAll="0"/>
    <pivotField showAll="0"/>
    <pivotField showAll="0"/>
    <pivotField showAll="0">
      <items count="4">
        <item x="2"/>
        <item x="0"/>
        <item x="1"/>
        <item t="default"/>
      </items>
    </pivotField>
    <pivotField numFmtId="164" showAll="0"/>
    <pivotField numFmtId="164" showAll="0"/>
    <pivotField dataField="1" numFmtId="2"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Sum of Current Inventory Count" fld="25" baseField="0" baseItem="0" numFmtId="2"/>
    <dataField name="Average of Manufacturing lead time" fld="17"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37E52E-291B-45B4-82C3-8383D99F87A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5" firstHeaderRow="0" firstDataRow="1" firstDataCol="1"/>
  <pivotFields count="26">
    <pivotField showAll="0">
      <items count="4">
        <item x="2"/>
        <item x="0"/>
        <item x="1"/>
        <item t="default"/>
      </items>
    </pivotField>
    <pivotField showAll="0"/>
    <pivotField numFmtId="164" showAll="0"/>
    <pivotField showAll="0"/>
    <pivotField showAll="0"/>
    <pivotField numFmtId="164" showAll="0"/>
    <pivotField showAll="0"/>
    <pivotField showAll="0"/>
    <pivotField showAll="0"/>
    <pivotField showAll="0"/>
    <pivotField dataField="1" showAll="0"/>
    <pivotField axis="axisRow" showAll="0">
      <items count="4">
        <item x="1"/>
        <item x="0"/>
        <item x="2"/>
        <item t="default"/>
      </items>
    </pivotField>
    <pivotField dataField="1" numFmtId="164" showAll="0"/>
    <pivotField showAll="0"/>
    <pivotField showAll="0"/>
    <pivotField showAll="0"/>
    <pivotField showAll="0"/>
    <pivotField showAll="0"/>
    <pivotField numFmtId="164" showAll="0"/>
    <pivotField showAll="0"/>
    <pivotField showAll="0"/>
    <pivotField showAll="0"/>
    <pivotField showAll="0">
      <items count="4">
        <item x="2"/>
        <item x="0"/>
        <item x="1"/>
        <item t="default"/>
      </items>
    </pivotField>
    <pivotField numFmtId="164" showAll="0"/>
    <pivotField numFmtId="164" showAll="0"/>
    <pivotField numFmtId="2" showAll="0"/>
  </pivotFields>
  <rowFields count="1">
    <field x="11"/>
  </rowFields>
  <rowItems count="4">
    <i>
      <x/>
    </i>
    <i>
      <x v="1"/>
    </i>
    <i>
      <x v="2"/>
    </i>
    <i t="grand">
      <x/>
    </i>
  </rowItems>
  <colFields count="1">
    <field x="-2"/>
  </colFields>
  <colItems count="2">
    <i>
      <x/>
    </i>
    <i i="1">
      <x v="1"/>
    </i>
  </colItems>
  <dataFields count="2">
    <dataField name="Sum of Shipping times" fld="10" baseField="11" baseItem="0"/>
    <dataField name="Sum of Shipping costs" fld="12" baseField="0" baseItem="0" numFmtId="164"/>
  </dataFields>
  <chartFormats count="1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11" count="1" selected="0">
            <x v="0"/>
          </reference>
        </references>
      </pivotArea>
    </chartFormat>
    <chartFormat chart="3" format="3">
      <pivotArea type="data" outline="0" fieldPosition="0">
        <references count="2">
          <reference field="4294967294" count="1" selected="0">
            <x v="1"/>
          </reference>
          <reference field="11" count="1" selected="0">
            <x v="1"/>
          </reference>
        </references>
      </pivotArea>
    </chartFormat>
    <chartFormat chart="3" format="4">
      <pivotArea type="data" outline="0" fieldPosition="0">
        <references count="2">
          <reference field="4294967294" count="1" selected="0">
            <x v="1"/>
          </reference>
          <reference field="11"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11" count="1" selected="0">
            <x v="0"/>
          </reference>
        </references>
      </pivotArea>
    </chartFormat>
    <chartFormat chart="6" format="13">
      <pivotArea type="data" outline="0" fieldPosition="0">
        <references count="2">
          <reference field="4294967294" count="1" selected="0">
            <x v="1"/>
          </reference>
          <reference field="11" count="1" selected="0">
            <x v="1"/>
          </reference>
        </references>
      </pivotArea>
    </chartFormat>
    <chartFormat chart="6" format="14">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862159-997F-44BF-B35A-7BA3C99C105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8:B24" firstHeaderRow="1" firstDataRow="1" firstDataCol="1"/>
  <pivotFields count="26">
    <pivotField showAll="0"/>
    <pivotField showAll="0"/>
    <pivotField numFmtId="164" showAll="0"/>
    <pivotField showAll="0"/>
    <pivotField showAll="0"/>
    <pivotField numFmtId="164" showAll="0"/>
    <pivotField showAll="0"/>
    <pivotField showAll="0"/>
    <pivotField showAll="0"/>
    <pivotField showAll="0"/>
    <pivotField showAll="0"/>
    <pivotField showAll="0"/>
    <pivotField numFmtId="164" showAll="0"/>
    <pivotField axis="axisRow" showAll="0">
      <items count="6">
        <item x="1"/>
        <item x="4"/>
        <item x="0"/>
        <item x="3"/>
        <item x="2"/>
        <item t="default"/>
      </items>
    </pivotField>
    <pivotField showAll="0"/>
    <pivotField showAll="0"/>
    <pivotField showAll="0"/>
    <pivotField showAll="0"/>
    <pivotField numFmtId="164" showAll="0"/>
    <pivotField showAll="0">
      <items count="4">
        <item x="1"/>
        <item x="2"/>
        <item x="0"/>
        <item t="default"/>
      </items>
    </pivotField>
    <pivotField dataField="1" showAll="0"/>
    <pivotField showAll="0">
      <items count="5">
        <item x="1"/>
        <item x="2"/>
        <item x="0"/>
        <item x="3"/>
        <item t="default"/>
      </items>
    </pivotField>
    <pivotField showAll="0"/>
    <pivotField numFmtId="164" showAll="0"/>
    <pivotField numFmtId="164" showAll="0"/>
    <pivotField numFmtId="2" showAll="0"/>
  </pivotFields>
  <rowFields count="1">
    <field x="13"/>
  </rowFields>
  <rowItems count="6">
    <i>
      <x/>
    </i>
    <i>
      <x v="1"/>
    </i>
    <i>
      <x v="2"/>
    </i>
    <i>
      <x v="3"/>
    </i>
    <i>
      <x v="4"/>
    </i>
    <i t="grand">
      <x/>
    </i>
  </rowItems>
  <colItems count="1">
    <i/>
  </colItems>
  <dataFields count="1">
    <dataField name="Average of Defect rates" fld="20" subtotal="average" baseField="0" baseItem="0"/>
  </dataFields>
  <chartFormats count="24">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3" count="1" selected="0">
            <x v="0"/>
          </reference>
        </references>
      </pivotArea>
    </chartFormat>
    <chartFormat chart="9" format="3">
      <pivotArea type="data" outline="0" fieldPosition="0">
        <references count="2">
          <reference field="4294967294" count="1" selected="0">
            <x v="0"/>
          </reference>
          <reference field="13" count="1" selected="0">
            <x v="1"/>
          </reference>
        </references>
      </pivotArea>
    </chartFormat>
    <chartFormat chart="9" format="4">
      <pivotArea type="data" outline="0" fieldPosition="0">
        <references count="2">
          <reference field="4294967294" count="1" selected="0">
            <x v="0"/>
          </reference>
          <reference field="13" count="1" selected="0">
            <x v="2"/>
          </reference>
        </references>
      </pivotArea>
    </chartFormat>
    <chartFormat chart="9" format="5">
      <pivotArea type="data" outline="0" fieldPosition="0">
        <references count="2">
          <reference field="4294967294" count="1" selected="0">
            <x v="0"/>
          </reference>
          <reference field="13" count="1" selected="0">
            <x v="3"/>
          </reference>
        </references>
      </pivotArea>
    </chartFormat>
    <chartFormat chart="9" format="6">
      <pivotArea type="data" outline="0" fieldPosition="0">
        <references count="2">
          <reference field="4294967294" count="1" selected="0">
            <x v="0"/>
          </reference>
          <reference field="13" count="1" selected="0">
            <x v="4"/>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3" count="1" selected="0">
            <x v="0"/>
          </reference>
        </references>
      </pivotArea>
    </chartFormat>
    <chartFormat chart="10" format="9">
      <pivotArea type="data" outline="0" fieldPosition="0">
        <references count="2">
          <reference field="4294967294" count="1" selected="0">
            <x v="0"/>
          </reference>
          <reference field="13" count="1" selected="0">
            <x v="1"/>
          </reference>
        </references>
      </pivotArea>
    </chartFormat>
    <chartFormat chart="10" format="10">
      <pivotArea type="data" outline="0" fieldPosition="0">
        <references count="2">
          <reference field="4294967294" count="1" selected="0">
            <x v="0"/>
          </reference>
          <reference field="13" count="1" selected="0">
            <x v="2"/>
          </reference>
        </references>
      </pivotArea>
    </chartFormat>
    <chartFormat chart="10" format="11">
      <pivotArea type="data" outline="0" fieldPosition="0">
        <references count="2">
          <reference field="4294967294" count="1" selected="0">
            <x v="0"/>
          </reference>
          <reference field="13" count="1" selected="0">
            <x v="3"/>
          </reference>
        </references>
      </pivotArea>
    </chartFormat>
    <chartFormat chart="10" format="12">
      <pivotArea type="data" outline="0" fieldPosition="0">
        <references count="2">
          <reference field="4294967294" count="1" selected="0">
            <x v="0"/>
          </reference>
          <reference field="13" count="1" selected="0">
            <x v="4"/>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3" count="1" selected="0">
            <x v="0"/>
          </reference>
        </references>
      </pivotArea>
    </chartFormat>
    <chartFormat chart="11" format="9">
      <pivotArea type="data" outline="0" fieldPosition="0">
        <references count="2">
          <reference field="4294967294" count="1" selected="0">
            <x v="0"/>
          </reference>
          <reference field="13" count="1" selected="0">
            <x v="1"/>
          </reference>
        </references>
      </pivotArea>
    </chartFormat>
    <chartFormat chart="11" format="10">
      <pivotArea type="data" outline="0" fieldPosition="0">
        <references count="2">
          <reference field="4294967294" count="1" selected="0">
            <x v="0"/>
          </reference>
          <reference field="13" count="1" selected="0">
            <x v="2"/>
          </reference>
        </references>
      </pivotArea>
    </chartFormat>
    <chartFormat chart="11" format="11">
      <pivotArea type="data" outline="0" fieldPosition="0">
        <references count="2">
          <reference field="4294967294" count="1" selected="0">
            <x v="0"/>
          </reference>
          <reference field="13" count="1" selected="0">
            <x v="3"/>
          </reference>
        </references>
      </pivotArea>
    </chartFormat>
    <chartFormat chart="11" format="12">
      <pivotArea type="data" outline="0" fieldPosition="0">
        <references count="2">
          <reference field="4294967294" count="1" selected="0">
            <x v="0"/>
          </reference>
          <reference field="13" count="1" selected="0">
            <x v="4"/>
          </reference>
        </references>
      </pivotArea>
    </chartFormat>
    <chartFormat chart="6" format="1">
      <pivotArea type="data" outline="0" fieldPosition="0">
        <references count="2">
          <reference field="4294967294" count="1" selected="0">
            <x v="0"/>
          </reference>
          <reference field="13" count="1" selected="0">
            <x v="0"/>
          </reference>
        </references>
      </pivotArea>
    </chartFormat>
    <chartFormat chart="6" format="2">
      <pivotArea type="data" outline="0" fieldPosition="0">
        <references count="2">
          <reference field="4294967294" count="1" selected="0">
            <x v="0"/>
          </reference>
          <reference field="13" count="1" selected="0">
            <x v="1"/>
          </reference>
        </references>
      </pivotArea>
    </chartFormat>
    <chartFormat chart="6" format="3">
      <pivotArea type="data" outline="0" fieldPosition="0">
        <references count="2">
          <reference field="4294967294" count="1" selected="0">
            <x v="0"/>
          </reference>
          <reference field="13" count="1" selected="0">
            <x v="2"/>
          </reference>
        </references>
      </pivotArea>
    </chartFormat>
    <chartFormat chart="6" format="4">
      <pivotArea type="data" outline="0" fieldPosition="0">
        <references count="2">
          <reference field="4294967294" count="1" selected="0">
            <x v="0"/>
          </reference>
          <reference field="13" count="1" selected="0">
            <x v="3"/>
          </reference>
        </references>
      </pivotArea>
    </chartFormat>
    <chartFormat chart="6" format="5">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6F980E-668F-495B-BFE5-B185C413FF1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E16" firstHeaderRow="1" firstDataRow="2" firstDataCol="1"/>
  <pivotFields count="26">
    <pivotField showAll="0"/>
    <pivotField showAll="0"/>
    <pivotField numFmtId="164" showAll="0"/>
    <pivotField showAll="0"/>
    <pivotField showAll="0"/>
    <pivotField numFmtId="164" showAll="0"/>
    <pivotField showAll="0"/>
    <pivotField showAll="0"/>
    <pivotField showAll="0"/>
    <pivotField showAll="0"/>
    <pivotField showAll="0"/>
    <pivotField showAll="0"/>
    <pivotField numFmtId="164" showAll="0"/>
    <pivotField axis="axisRow" showAll="0">
      <items count="6">
        <item x="1"/>
        <item x="4"/>
        <item x="0"/>
        <item x="3"/>
        <item x="2"/>
        <item t="default"/>
      </items>
    </pivotField>
    <pivotField showAll="0"/>
    <pivotField showAll="0"/>
    <pivotField dataField="1" showAll="0"/>
    <pivotField showAll="0"/>
    <pivotField numFmtId="164" showAll="0"/>
    <pivotField axis="axisCol" showAll="0">
      <items count="4">
        <item x="1"/>
        <item x="2"/>
        <item x="0"/>
        <item t="default"/>
      </items>
    </pivotField>
    <pivotField showAll="0"/>
    <pivotField showAll="0">
      <items count="5">
        <item x="1"/>
        <item x="2"/>
        <item x="0"/>
        <item x="3"/>
        <item t="default"/>
      </items>
    </pivotField>
    <pivotField showAll="0"/>
    <pivotField numFmtId="164" showAll="0"/>
    <pivotField numFmtId="164" showAll="0"/>
    <pivotField numFmtId="2" showAll="0"/>
  </pivotFields>
  <rowFields count="1">
    <field x="13"/>
  </rowFields>
  <rowItems count="6">
    <i>
      <x/>
    </i>
    <i>
      <x v="1"/>
    </i>
    <i>
      <x v="2"/>
    </i>
    <i>
      <x v="3"/>
    </i>
    <i>
      <x v="4"/>
    </i>
    <i t="grand">
      <x/>
    </i>
  </rowItems>
  <colFields count="1">
    <field x="19"/>
  </colFields>
  <colItems count="4">
    <i>
      <x/>
    </i>
    <i>
      <x v="1"/>
    </i>
    <i>
      <x v="2"/>
    </i>
    <i t="grand">
      <x/>
    </i>
  </colItems>
  <dataFields count="1">
    <dataField name="Sum of Production volumes" fld="16" baseField="0" baseItem="0"/>
  </dataFields>
  <chartFormats count="6">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5" format="6" series="1">
      <pivotArea type="data" outline="0" fieldPosition="0">
        <references count="2">
          <reference field="4294967294" count="1" selected="0">
            <x v="0"/>
          </reference>
          <reference field="19" count="1" selected="0">
            <x v="0"/>
          </reference>
        </references>
      </pivotArea>
    </chartFormat>
    <chartFormat chart="5" format="7" series="1">
      <pivotArea type="data" outline="0" fieldPosition="0">
        <references count="2">
          <reference field="4294967294" count="1" selected="0">
            <x v="0"/>
          </reference>
          <reference field="19" count="1" selected="0">
            <x v="1"/>
          </reference>
        </references>
      </pivotArea>
    </chartFormat>
    <chartFormat chart="5"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1F44F6-D758-4C7B-A712-1FC5EEB9DE9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C7" firstHeaderRow="0" firstDataRow="1" firstDataCol="1"/>
  <pivotFields count="26">
    <pivotField showAll="0"/>
    <pivotField showAll="0"/>
    <pivotField numFmtId="164" showAll="0"/>
    <pivotField showAll="0"/>
    <pivotField showAll="0"/>
    <pivotField numFmtId="164" showAll="0"/>
    <pivotField showAll="0"/>
    <pivotField showAll="0"/>
    <pivotField showAll="0"/>
    <pivotField showAll="0"/>
    <pivotField showAll="0"/>
    <pivotField showAll="0"/>
    <pivotField numFmtId="164" showAll="0"/>
    <pivotField axis="axisRow" showAll="0">
      <items count="6">
        <item x="1"/>
        <item x="4"/>
        <item x="0"/>
        <item x="3"/>
        <item x="2"/>
        <item t="default"/>
      </items>
    </pivotField>
    <pivotField showAll="0"/>
    <pivotField showAll="0"/>
    <pivotField showAll="0"/>
    <pivotField dataField="1" showAll="0"/>
    <pivotField dataField="1" numFmtId="164" showAll="0"/>
    <pivotField showAll="0">
      <items count="4">
        <item x="1"/>
        <item x="2"/>
        <item x="0"/>
        <item t="default"/>
      </items>
    </pivotField>
    <pivotField showAll="0"/>
    <pivotField showAll="0">
      <items count="5">
        <item x="1"/>
        <item x="2"/>
        <item x="0"/>
        <item x="3"/>
        <item t="default"/>
      </items>
    </pivotField>
    <pivotField showAll="0"/>
    <pivotField numFmtId="164" showAll="0"/>
    <pivotField numFmtId="164" showAll="0"/>
    <pivotField numFmtId="2" showAll="0"/>
  </pivotFields>
  <rowFields count="1">
    <field x="13"/>
  </rowFields>
  <rowItems count="6">
    <i>
      <x/>
    </i>
    <i>
      <x v="1"/>
    </i>
    <i>
      <x v="2"/>
    </i>
    <i>
      <x v="3"/>
    </i>
    <i>
      <x v="4"/>
    </i>
    <i t="grand">
      <x/>
    </i>
  </rowItems>
  <colFields count="1">
    <field x="-2"/>
  </colFields>
  <colItems count="2">
    <i>
      <x/>
    </i>
    <i i="1">
      <x v="1"/>
    </i>
  </colItems>
  <dataFields count="2">
    <dataField name="Sum of Manufacturing lead time" fld="17" baseField="0" baseItem="0"/>
    <dataField name="Sum of Manufacturing costs" fld="18" baseField="0" baseItem="0" numFmtId="164"/>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4"/>
          </reference>
        </references>
      </pivotArea>
    </chartFormat>
    <chartFormat chart="0" format="4">
      <pivotArea type="data" outline="0" fieldPosition="0">
        <references count="2">
          <reference field="4294967294" count="1" selected="0">
            <x v="1"/>
          </reference>
          <reference field="13" count="1" selected="0">
            <x v="4"/>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0" format="4">
      <pivotArea type="data" outline="0" fieldPosition="0">
        <references count="2">
          <reference field="4294967294" count="1" selected="0">
            <x v="1"/>
          </reference>
          <reference field="13" count="1" selected="0">
            <x v="0"/>
          </reference>
        </references>
      </pivotArea>
    </chartFormat>
    <chartFormat chart="0" format="5">
      <pivotArea type="data" outline="0" fieldPosition="0">
        <references count="2">
          <reference field="4294967294" count="1" selected="0">
            <x v="1"/>
          </reference>
          <reference field="13" count="1" selected="0">
            <x v="1"/>
          </reference>
        </references>
      </pivotArea>
    </chartFormat>
    <chartFormat chart="0" format="6">
      <pivotArea type="data" outline="0" fieldPosition="0">
        <references count="2">
          <reference field="4294967294" count="1" selected="0">
            <x v="0"/>
          </reference>
          <reference field="13" count="1" selected="0">
            <x v="2"/>
          </reference>
        </references>
      </pivotArea>
    </chartFormat>
    <chartFormat chart="0" format="7">
      <pivotArea type="data" outline="0" fieldPosition="0">
        <references count="2">
          <reference field="4294967294" count="1" selected="0">
            <x v="1"/>
          </reference>
          <reference field="13" count="1" selected="0">
            <x v="2"/>
          </reference>
        </references>
      </pivotArea>
    </chartFormat>
    <chartFormat chart="0" format="8">
      <pivotArea type="data" outline="0" fieldPosition="0">
        <references count="2">
          <reference field="4294967294" count="1" selected="0">
            <x v="0"/>
          </reference>
          <reference field="13" count="1" selected="0">
            <x v="3"/>
          </reference>
        </references>
      </pivotArea>
    </chartFormat>
    <chartFormat chart="0" format="9">
      <pivotArea type="data" outline="0" fieldPosition="0">
        <references count="2">
          <reference field="4294967294" count="1" selected="0">
            <x v="1"/>
          </reference>
          <reference field="13" count="1" selected="0">
            <x v="3"/>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13" count="1" selected="0">
            <x v="0"/>
          </reference>
        </references>
      </pivotArea>
    </chartFormat>
    <chartFormat chart="10" format="24">
      <pivotArea type="data" outline="0" fieldPosition="0">
        <references count="2">
          <reference field="4294967294" count="1" selected="0">
            <x v="0"/>
          </reference>
          <reference field="13" count="1" selected="0">
            <x v="1"/>
          </reference>
        </references>
      </pivotArea>
    </chartFormat>
    <chartFormat chart="10" format="25">
      <pivotArea type="data" outline="0" fieldPosition="0">
        <references count="2">
          <reference field="4294967294" count="1" selected="0">
            <x v="0"/>
          </reference>
          <reference field="13" count="1" selected="0">
            <x v="2"/>
          </reference>
        </references>
      </pivotArea>
    </chartFormat>
    <chartFormat chart="10" format="26">
      <pivotArea type="data" outline="0" fieldPosition="0">
        <references count="2">
          <reference field="4294967294" count="1" selected="0">
            <x v="0"/>
          </reference>
          <reference field="13" count="1" selected="0">
            <x v="3"/>
          </reference>
        </references>
      </pivotArea>
    </chartFormat>
    <chartFormat chart="10" format="27">
      <pivotArea type="data" outline="0" fieldPosition="0">
        <references count="2">
          <reference field="4294967294" count="1" selected="0">
            <x v="0"/>
          </reference>
          <reference field="13" count="1" selected="0">
            <x v="4"/>
          </reference>
        </references>
      </pivotArea>
    </chartFormat>
    <chartFormat chart="10" format="28" series="1">
      <pivotArea type="data" outline="0" fieldPosition="0">
        <references count="1">
          <reference field="4294967294" count="1" selected="0">
            <x v="1"/>
          </reference>
        </references>
      </pivotArea>
    </chartFormat>
    <chartFormat chart="10" format="29">
      <pivotArea type="data" outline="0" fieldPosition="0">
        <references count="2">
          <reference field="4294967294" count="1" selected="0">
            <x v="1"/>
          </reference>
          <reference field="13" count="1" selected="0">
            <x v="0"/>
          </reference>
        </references>
      </pivotArea>
    </chartFormat>
    <chartFormat chart="10" format="30">
      <pivotArea type="data" outline="0" fieldPosition="0">
        <references count="2">
          <reference field="4294967294" count="1" selected="0">
            <x v="1"/>
          </reference>
          <reference field="13" count="1" selected="0">
            <x v="1"/>
          </reference>
        </references>
      </pivotArea>
    </chartFormat>
    <chartFormat chart="10" format="31">
      <pivotArea type="data" outline="0" fieldPosition="0">
        <references count="2">
          <reference field="4294967294" count="1" selected="0">
            <x v="1"/>
          </reference>
          <reference field="13" count="1" selected="0">
            <x v="2"/>
          </reference>
        </references>
      </pivotArea>
    </chartFormat>
    <chartFormat chart="10" format="32">
      <pivotArea type="data" outline="0" fieldPosition="0">
        <references count="2">
          <reference field="4294967294" count="1" selected="0">
            <x v="1"/>
          </reference>
          <reference field="13" count="1" selected="0">
            <x v="3"/>
          </reference>
        </references>
      </pivotArea>
    </chartFormat>
    <chartFormat chart="10" format="33">
      <pivotArea type="data" outline="0" fieldPosition="0">
        <references count="2">
          <reference field="4294967294" count="1" selected="0">
            <x v="1"/>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2219FC-1070-4479-B23F-D3C42E58DA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F33" firstHeaderRow="1" firstDataRow="2" firstDataCol="1"/>
  <pivotFields count="26">
    <pivotField showAll="0"/>
    <pivotField showAll="0"/>
    <pivotField numFmtId="164" showAll="0"/>
    <pivotField showAll="0"/>
    <pivotField showAll="0"/>
    <pivotField numFmtId="164" showAll="0"/>
    <pivotField showAll="0"/>
    <pivotField showAll="0"/>
    <pivotField showAll="0"/>
    <pivotField showAll="0"/>
    <pivotField showAll="0"/>
    <pivotField showAll="0"/>
    <pivotField numFmtId="164" showAll="0"/>
    <pivotField axis="axisRow" showAll="0">
      <items count="6">
        <item x="1"/>
        <item x="4"/>
        <item x="0"/>
        <item x="3"/>
        <item x="2"/>
        <item t="default"/>
      </items>
    </pivotField>
    <pivotField showAll="0"/>
    <pivotField showAll="0"/>
    <pivotField showAll="0"/>
    <pivotField showAll="0"/>
    <pivotField numFmtId="164" showAll="0"/>
    <pivotField showAll="0">
      <items count="4">
        <item x="1"/>
        <item x="2"/>
        <item x="0"/>
        <item t="default"/>
      </items>
    </pivotField>
    <pivotField showAll="0"/>
    <pivotField axis="axisCol" showAll="0">
      <items count="5">
        <item x="1"/>
        <item x="2"/>
        <item x="0"/>
        <item x="3"/>
        <item t="default"/>
      </items>
    </pivotField>
    <pivotField showAll="0"/>
    <pivotField dataField="1" numFmtId="164" showAll="0"/>
    <pivotField numFmtId="164" showAll="0"/>
    <pivotField numFmtId="2" showAll="0"/>
  </pivotFields>
  <rowFields count="1">
    <field x="13"/>
  </rowFields>
  <rowItems count="6">
    <i>
      <x/>
    </i>
    <i>
      <x v="1"/>
    </i>
    <i>
      <x v="2"/>
    </i>
    <i>
      <x v="3"/>
    </i>
    <i>
      <x v="4"/>
    </i>
    <i t="grand">
      <x/>
    </i>
  </rowItems>
  <colFields count="1">
    <field x="21"/>
  </colFields>
  <colItems count="5">
    <i>
      <x/>
    </i>
    <i>
      <x v="1"/>
    </i>
    <i>
      <x v="2"/>
    </i>
    <i>
      <x v="3"/>
    </i>
    <i t="grand">
      <x/>
    </i>
  </colItems>
  <dataFields count="1">
    <dataField name="Sum of Costs" fld="23" baseField="0" baseItem="0" numFmtId="164"/>
  </dataField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3" format="8" series="1">
      <pivotArea type="data" outline="0" fieldPosition="0">
        <references count="2">
          <reference field="4294967294" count="1" selected="0">
            <x v="0"/>
          </reference>
          <reference field="21" count="1" selected="0">
            <x v="0"/>
          </reference>
        </references>
      </pivotArea>
    </chartFormat>
    <chartFormat chart="3" format="9" series="1">
      <pivotArea type="data" outline="0" fieldPosition="0">
        <references count="2">
          <reference field="4294967294" count="1" selected="0">
            <x v="0"/>
          </reference>
          <reference field="21" count="1" selected="0">
            <x v="1"/>
          </reference>
        </references>
      </pivotArea>
    </chartFormat>
    <chartFormat chart="3" format="10" series="1">
      <pivotArea type="data" outline="0" fieldPosition="0">
        <references count="2">
          <reference field="4294967294" count="1" selected="0">
            <x v="0"/>
          </reference>
          <reference field="21" count="1" selected="0">
            <x v="2"/>
          </reference>
        </references>
      </pivotArea>
    </chartFormat>
    <chartFormat chart="3" format="11"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8E1AFD-70D7-4149-8C34-EB6CD18C603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17" firstHeaderRow="0" firstDataRow="1" firstDataCol="0"/>
  <pivotFields count="26">
    <pivotField showAll="0"/>
    <pivotField showAll="0"/>
    <pivotField numFmtId="164" showAll="0"/>
    <pivotField showAll="0"/>
    <pivotField showAll="0"/>
    <pivotField numFmtId="164" showAll="0"/>
    <pivotField showAll="0"/>
    <pivotField showAll="0"/>
    <pivotField dataField="1" showAll="0"/>
    <pivotField showAll="0"/>
    <pivotField dataField="1" showAll="0"/>
    <pivotField showAll="0"/>
    <pivotField numFmtId="164" showAll="0"/>
    <pivotField showAll="0"/>
    <pivotField showAll="0"/>
    <pivotField showAll="0"/>
    <pivotField showAll="0"/>
    <pivotField dataField="1" showAll="0"/>
    <pivotField numFmtId="164" showAll="0"/>
    <pivotField showAll="0"/>
    <pivotField showAll="0"/>
    <pivotField showAll="0"/>
    <pivotField showAll="0"/>
    <pivotField numFmtId="164" showAll="0"/>
    <pivotField numFmtId="164" showAll="0"/>
    <pivotField numFmtId="2" showAll="0"/>
  </pivotFields>
  <rowItems count="1">
    <i/>
  </rowItems>
  <colFields count="1">
    <field x="-2"/>
  </colFields>
  <colItems count="3">
    <i>
      <x/>
    </i>
    <i i="1">
      <x v="1"/>
    </i>
    <i i="2">
      <x v="2"/>
    </i>
  </colItems>
  <dataFields count="3">
    <dataField name="Max of Manufacturing lead time" fld="17" subtotal="max" baseField="0" baseItem="2"/>
    <dataField name="Max of Lead times" fld="8" subtotal="max" baseField="0" baseItem="1"/>
    <dataField name="Max of Shipping times" fld="10" subtotal="max"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15B116-F58B-4706-9167-568CD62D5E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63" firstHeaderRow="1" firstDataRow="1" firstDataCol="1"/>
  <pivotFields count="26">
    <pivotField showAll="0"/>
    <pivotField axis="axisRow" showAll="0" measureFilter="1">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showAll="0"/>
    <pivotField showAll="0"/>
    <pivotField showAll="0"/>
    <pivotField showAll="0"/>
    <pivotField numFmtId="164" showAll="0"/>
    <pivotField numFmtId="164" showAll="0"/>
    <pivotField dataField="1" numFmtId="2" showAll="0"/>
  </pivotFields>
  <rowFields count="1">
    <field x="1"/>
  </rowFields>
  <rowItems count="21">
    <i>
      <x v="9"/>
    </i>
    <i>
      <x v="11"/>
    </i>
    <i>
      <x v="12"/>
    </i>
    <i>
      <x v="18"/>
    </i>
    <i>
      <x v="23"/>
    </i>
    <i>
      <x v="37"/>
    </i>
    <i>
      <x v="40"/>
    </i>
    <i>
      <x v="43"/>
    </i>
    <i>
      <x v="44"/>
    </i>
    <i>
      <x v="45"/>
    </i>
    <i>
      <x v="47"/>
    </i>
    <i>
      <x v="52"/>
    </i>
    <i>
      <x v="56"/>
    </i>
    <i>
      <x v="68"/>
    </i>
    <i>
      <x v="73"/>
    </i>
    <i>
      <x v="78"/>
    </i>
    <i>
      <x v="84"/>
    </i>
    <i>
      <x v="86"/>
    </i>
    <i>
      <x v="93"/>
    </i>
    <i>
      <x v="97"/>
    </i>
    <i t="grand">
      <x/>
    </i>
  </rowItems>
  <colItems count="1">
    <i/>
  </colItems>
  <dataFields count="1">
    <dataField name="Sum of Current Inventory Count" fld="25" baseField="0" baseItem="0" numFmtId="2"/>
  </dataFields>
  <pivotTableStyleInfo name="PivotStyleLight16" showRowHeaders="1" showColHeaders="1" showRowStripes="0" showColStripes="0" showLastColumn="1"/>
  <filters count="1">
    <filter fld="1"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115221-3FFA-4B5E-9D4E-F617A3D281B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C24" firstHeaderRow="0" firstDataRow="1" firstDataCol="0"/>
  <pivotFields count="26">
    <pivotField showAll="0"/>
    <pivotField showAll="0"/>
    <pivotField numFmtId="164" showAll="0"/>
    <pivotField showAll="0"/>
    <pivotField showAll="0"/>
    <pivotField numFmtId="164"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dataField="1" numFmtId="164" showAll="0"/>
    <pivotField showAll="0"/>
    <pivotField showAll="0"/>
    <pivotField showAll="0"/>
    <pivotField showAll="0"/>
    <pivotField dataField="1" numFmtId="164" showAll="0"/>
    <pivotField numFmtId="164" showAll="0"/>
    <pivotField numFmtId="2" showAll="0"/>
  </pivotFields>
  <rowItems count="1">
    <i/>
  </rowItems>
  <colFields count="1">
    <field x="-2"/>
  </colFields>
  <colItems count="3">
    <i>
      <x/>
    </i>
    <i i="1">
      <x v="1"/>
    </i>
    <i i="2">
      <x v="2"/>
    </i>
  </colItems>
  <dataFields count="3">
    <dataField name="Max of Costs" fld="23" subtotal="max" baseField="0" baseItem="1" numFmtId="164"/>
    <dataField name="Max of Manufacturing costs" fld="18" subtotal="max" baseField="0" baseItem="1" numFmtId="164"/>
    <dataField name="Max of Shipping costs" fld="12" subtotal="max"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9B8735-8121-46DB-AA0D-5D16459E31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5:E36" firstHeaderRow="0" firstDataRow="1" firstDataCol="0"/>
  <pivotFields count="26">
    <pivotField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dataField="1" showAll="0"/>
    <pivotField numFmtId="164" showAll="0"/>
    <pivotField showAll="0"/>
    <pivotField dataField="1" showAll="0"/>
    <pivotField showAll="0"/>
    <pivotField dataField="1" showAll="0"/>
    <pivotField showAll="0"/>
    <pivotField showAll="0"/>
    <pivotField numFmtId="164" showAll="0"/>
    <pivotField showAll="0"/>
    <pivotField showAll="0"/>
    <pivotField showAll="0"/>
    <pivotField dataField="1" showAll="0"/>
    <pivotField showAll="0"/>
    <pivotField numFmtId="164" showAll="0"/>
    <pivotField showAll="0"/>
    <pivotField showAll="0"/>
    <pivotField showAll="0"/>
    <pivotField showAll="0"/>
    <pivotField numFmtId="164" showAll="0"/>
    <pivotField numFmtId="164" showAll="0"/>
    <pivotField dataField="1" numFmtId="2" showAll="0"/>
  </pivotFields>
  <rowItems count="1">
    <i/>
  </rowItems>
  <colFields count="1">
    <field x="-2"/>
  </colFields>
  <colItems count="5">
    <i>
      <x/>
    </i>
    <i i="1">
      <x v="1"/>
    </i>
    <i i="2">
      <x v="2"/>
    </i>
    <i i="3">
      <x v="3"/>
    </i>
    <i i="4">
      <x v="4"/>
    </i>
  </colItems>
  <dataFields count="5">
    <dataField name="Sum of Stock levels" fld="7" baseField="0" baseItem="0"/>
    <dataField name="Sum of Production volumes" fld="16" baseField="0" baseItem="0"/>
    <dataField name="Sum of Order quantities" fld="9" baseField="0" baseItem="0"/>
    <dataField name="Sum of Number of products sold" fld="4" baseField="0" baseItem="0"/>
    <dataField name="Sum of Current Inventory Count" fld="2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91A9D9F-B68D-44ED-A904-AA5B243967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F30" firstHeaderRow="0" firstDataRow="1" firstDataCol="0"/>
  <pivotFields count="26">
    <pivotField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showAll="0"/>
    <pivotField dataField="1" showAll="0"/>
    <pivotField dataField="1" showAll="0"/>
    <pivotField dataField="1" showAll="0"/>
    <pivotField showAll="0">
      <items count="4">
        <item x="1"/>
        <item x="0"/>
        <item x="2"/>
        <item t="default"/>
      </items>
    </pivotField>
    <pivotField numFmtId="164" showAll="0"/>
    <pivotField showAll="0"/>
    <pivotField showAll="0">
      <items count="6">
        <item x="3"/>
        <item x="4"/>
        <item x="2"/>
        <item x="1"/>
        <item x="0"/>
        <item t="default"/>
      </items>
    </pivotField>
    <pivotField showAll="0"/>
    <pivotField dataField="1" showAll="0"/>
    <pivotField dataField="1" showAll="0"/>
    <pivotField numFmtId="164" showAll="0"/>
    <pivotField showAll="0"/>
    <pivotField showAll="0"/>
    <pivotField showAll="0"/>
    <pivotField showAll="0"/>
    <pivotField numFmtId="164" showAll="0"/>
    <pivotField numFmtId="164" showAll="0"/>
    <pivotField dataField="1" numFmtId="2" showAll="0"/>
  </pivotFields>
  <rowItems count="1">
    <i/>
  </rowItems>
  <colFields count="1">
    <field x="-2"/>
  </colFields>
  <colItems count="6">
    <i>
      <x/>
    </i>
    <i i="1">
      <x v="1"/>
    </i>
    <i i="2">
      <x v="2"/>
    </i>
    <i i="3">
      <x v="3"/>
    </i>
    <i i="4">
      <x v="4"/>
    </i>
    <i i="5">
      <x v="5"/>
    </i>
  </colItems>
  <dataFields count="6">
    <dataField name="Sum of Order quantities" fld="9" baseField="0" baseItem="0"/>
    <dataField name="Sum of Production volumes" fld="16" baseField="0" baseItem="0"/>
    <dataField name="Sum of Manufacturing lead time" fld="17" baseField="0" baseItem="0"/>
    <dataField name="Sum of Shipping times" fld="10" baseField="0" baseItem="0"/>
    <dataField name="Sum of Lead times" fld="8" baseField="0" baseItem="0"/>
    <dataField name="Sum of Current Inventory Count" fld="2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D2DA96-65EF-4A3D-BEDC-8D22E77F264D}" autoFormatId="16" applyNumberFormats="0" applyBorderFormats="0" applyFontFormats="0" applyPatternFormats="0" applyAlignmentFormats="0" applyWidthHeightFormats="0">
  <queryTableRefresh nextId="25">
    <queryTableFields count="24">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E5D377B-86E8-4B4C-B195-BEC4CCD2BCFE}" autoFormatId="16" applyNumberFormats="0" applyBorderFormats="0" applyFontFormats="0" applyPatternFormats="0" applyAlignmentFormats="0" applyWidthHeightFormats="0">
  <queryTableRefresh nextId="29" unboundColumnsRight="3">
    <queryTableFields count="27">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 id="26" dataBound="0" tableColumnId="25"/>
      <queryTableField id="27" dataBound="0" tableColumnId="26"/>
      <queryTableField id="28"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1" xr10:uid="{A51D8C15-89D0-4567-B86B-2D40F0248142}" sourceName="Product type">
  <pivotTables>
    <pivotTable tabId="8" name="PivotTable6"/>
    <pivotTable tabId="8" name="PivotTable7"/>
    <pivotTable tabId="8" name="PivotTable8"/>
    <pivotTable tabId="8" name="PivotTable9"/>
  </pivotTables>
  <data>
    <tabular pivotCacheId="192873413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demographics1" xr10:uid="{AC0ED905-C407-4BEA-BC2F-512573894BFC}" sourceName="Customer demographics">
  <pivotTables>
    <pivotTable tabId="8" name="PivotTable6"/>
    <pivotTable tabId="8" name="PivotTable7"/>
    <pivotTable tabId="8" name="PivotTable8"/>
    <pivotTable tabId="8" name="PivotTable9"/>
  </pivotTables>
  <data>
    <tabular pivotCacheId="1928734139">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B59CA02C-3D03-4610-9609-91C81BC27468}" sourceName="Location">
  <pivotTables>
    <pivotTable tabId="8" name="PivotTable6"/>
    <pivotTable tabId="8" name="PivotTable7"/>
    <pivotTable tabId="8" name="PivotTable8"/>
    <pivotTable tabId="8" name="PivotTable9"/>
  </pivotTables>
  <data>
    <tabular pivotCacheId="1928734139">
      <items count="5">
        <i x="3" s="1"/>
        <i x="4"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1" xr10:uid="{BD2DB980-601E-4331-A4B8-B0A86FAD0DBF}" sourceName="Supplier name">
  <pivotTables>
    <pivotTable tabId="13" name="PivotTable19"/>
    <pivotTable tabId="13" name="PivotTable1"/>
    <pivotTable tabId="13" name="PivotTable20"/>
    <pivotTable tabId="13" name="PivotTable21"/>
  </pivotTables>
  <data>
    <tabular pivotCacheId="1928734139">
      <items count="5">
        <i x="1" s="1"/>
        <i x="4"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_results1" xr10:uid="{6C1C3F0E-4FE8-40A3-B1AD-4B95E6C92E36}" sourceName="Inspection results">
  <pivotTables>
    <pivotTable tabId="13" name="PivotTable19"/>
    <pivotTable tabId="13" name="PivotTable1"/>
    <pivotTable tabId="13" name="PivotTable20"/>
    <pivotTable tabId="13" name="PivotTable21"/>
  </pivotTables>
  <data>
    <tabular pivotCacheId="1928734139">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1" xr10:uid="{B84F686A-07BD-4947-87B3-6DA22CC8A6B2}" sourceName="Transportation modes">
  <pivotTables>
    <pivotTable tabId="13" name="PivotTable19"/>
    <pivotTable tabId="13" name="PivotTable1"/>
    <pivotTable tabId="13" name="PivotTable20"/>
    <pivotTable tabId="13" name="PivotTable21"/>
  </pivotTables>
  <data>
    <tabular pivotCacheId="1928734139">
      <items count="4">
        <i x="1" s="1"/>
        <i x="2"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2" xr10:uid="{7B5FA89E-5FB1-42AA-8D3C-FCC70FDB1327}" sourceName="Product type">
  <pivotTables>
    <pivotTable tabId="10" name="PivotTable10"/>
    <pivotTable tabId="10" name="PivotTable17"/>
    <pivotTable tabId="10" name="PivotTable2"/>
    <pivotTable tabId="10" name="PivotTable8"/>
  </pivotTables>
  <data>
    <tabular pivotCacheId="1928734139">
      <items count="3">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1" xr10:uid="{C9C41C12-9B16-4AF1-AE9E-58084BAC445F}" sourceName="Shipping carriers">
  <pivotTables>
    <pivotTable tabId="10" name="PivotTable10"/>
    <pivotTable tabId="10" name="PivotTable17"/>
    <pivotTable tabId="10" name="PivotTable2"/>
  </pivotTables>
  <data>
    <tabular pivotCacheId="1928734139">
      <items count="3">
        <i x="1" s="1"/>
        <i x="0"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s1" xr10:uid="{D06963E0-A45A-43C4-9596-477C9F9E9AEA}" sourceName="Routes">
  <pivotTables>
    <pivotTable tabId="10" name="PivotTable10"/>
    <pivotTable tabId="10" name="PivotTable17"/>
    <pivotTable tabId="10" name="PivotTable2"/>
  </pivotTables>
  <data>
    <tabular pivotCacheId="192873413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F7A6B780-E03B-4982-AF9B-5950250E4F0E}" cache="Slicer_Product_type1" caption="Product type" columnCount="3" rowHeight="241300"/>
  <slicer name="Customer demographics" xr10:uid="{AD0B8FB6-9027-45CA-900F-DD980E8A754D}" cache="Slicer_Customer_demographics1" caption="Customer demographics" rowHeight="241300"/>
  <slicer name="Location" xr10:uid="{05D6EAAF-899D-4C50-B0A3-02775FFD51CC}" cache="Slicer_Location1" caption="Location"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2" xr10:uid="{8E42D6A4-74FE-40AE-88BA-883D5D406004}" cache="Slicer_Product_type2" caption="Product type" style="SlicerStyleDark4" rowHeight="241300"/>
  <slicer name="Shipping carriers" xr10:uid="{710EC1B2-B318-48D1-8B7D-F802346FC48F}" cache="Slicer_Shipping_carriers1" caption="Shipping carriers" style="SlicerStyleDark4" rowHeight="241300"/>
  <slicer name="Routes" xr10:uid="{3225FA4E-0674-4807-A8B5-4E53AA649763}" cache="Slicer_Routes1" caption="Routes" style="SlicerStyleDark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name" xr10:uid="{5C4F2AA4-FB1A-40A0-811C-5FE10CA1F826}" cache="Slicer_Supplier_name1" caption="Supplier name" style="SlicerStyleDark2" rowHeight="241300"/>
  <slicer name="Inspection results" xr10:uid="{8B1F0BE0-DB14-4C15-B6C3-2B636D579587}" cache="Slicer_Inspection_results1" caption="Inspection results" style="SlicerStyleDark2" rowHeight="241300"/>
  <slicer name="Transportation modes" xr10:uid="{EAE33671-77F2-43CE-9C3B-C77A4B51EE0C}" cache="Slicer_Transportation_modes1" caption="Transportation modes" style="SlicerStyleDark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F3EDD1A7-4CE9-4E98-B8E5-B273F5F7C4D4}" cache="Slicer_Product_type1" caption="Product type" columnCount="3" rowHeight="241300"/>
  <slicer name="Customer demographics 1" xr10:uid="{3D9278F0-DA9D-48FA-82AD-E0827FC60558}" cache="Slicer_Customer_demographics1" caption="Customer demographics" columnCount="2" rowHeight="241300"/>
  <slicer name="Location 1" xr10:uid="{2127B473-1860-4CBC-93B8-3E6EE07C57CD}" cache="Slicer_Location1" caption="Locati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3" xr10:uid="{26C5D35B-BF6E-4126-8F18-25D26004C86D}" cache="Slicer_Product_type2" caption="Product type" columnCount="3" style="SlicerStyleDark4" rowHeight="241300"/>
  <slicer name="Shipping carriers 1" xr10:uid="{BDFF4297-E52A-4059-84A3-5706B774D4D3}" cache="Slicer_Shipping_carriers1" caption="Shipping carriers" columnCount="3" style="SlicerStyleDark4" rowHeight="241300"/>
  <slicer name="Routes 1" xr10:uid="{A2B97AC5-11BD-4DF9-A1CE-D0739D7D05B1}" cache="Slicer_Routes1" caption="Routes" columnCount="3" style="SlicerStyleDark4"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name 1" xr10:uid="{C8455482-DB7A-4023-A6EF-C1F6ECA0353F}" cache="Slicer_Supplier_name1" caption="Supplier name" style="SlicerStyleDark2" rowHeight="241300"/>
  <slicer name="Inspection results 1" xr10:uid="{30B05AB6-2D20-4555-BF09-44D9B221E2FF}" cache="Slicer_Inspection_results1" caption="Inspection results" style="SlicerStyleDark2" rowHeight="241300"/>
  <slicer name="Transportation modes 1" xr10:uid="{908AD516-7446-4EDA-B4AF-3F35E4DF828F}" cache="Slicer_Transportation_modes1" caption="Transportation modes" columnCount="2"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002397-2D17-429F-837E-0B008D3C9593}" name="supply_chain_data" displayName="supply_chain_data" ref="A1:X101" tableType="queryTable" totalsRowShown="0">
  <autoFilter ref="A1:X101" xr:uid="{44002397-2D17-429F-837E-0B008D3C9593}"/>
  <tableColumns count="24">
    <tableColumn id="1" xr3:uid="{591E1C52-BB36-42B1-B54A-E17A3B0BB6C7}" uniqueName="1" name="Product type" queryTableFieldId="1" dataDxfId="43"/>
    <tableColumn id="2" xr3:uid="{64598117-2BF8-4707-B7BC-EDA97934016E}" uniqueName="2" name="SKU" queryTableFieldId="2" dataDxfId="42"/>
    <tableColumn id="3" xr3:uid="{4550DF8F-45F4-433B-A8EA-877A830F08FF}" uniqueName="3" name="Price" queryTableFieldId="3"/>
    <tableColumn id="4" xr3:uid="{2F3BED66-F3E4-4726-8C60-2C5C3E0773E2}" uniqueName="4" name="Availability" queryTableFieldId="4"/>
    <tableColumn id="5" xr3:uid="{77E4B71D-0B93-4B0B-A80A-1CA5A3613FE9}" uniqueName="5" name="Number of products sold" queryTableFieldId="5"/>
    <tableColumn id="6" xr3:uid="{BDCB9831-1B65-43C2-848A-265035170B3A}" uniqueName="6" name="Revenue generated" queryTableFieldId="6"/>
    <tableColumn id="7" xr3:uid="{D9874B36-EFF0-4F95-BFA1-C1A78CD6453C}" uniqueName="7" name="Customer demographics" queryTableFieldId="7" dataDxfId="41"/>
    <tableColumn id="8" xr3:uid="{767EA7BB-BAB9-4FC5-8087-6325C1C0B5B4}" uniqueName="8" name="Stock levels" queryTableFieldId="8"/>
    <tableColumn id="9" xr3:uid="{FD26B0F2-E93C-4D97-9B7A-7F58A5F7121E}" uniqueName="9" name="Lead times" queryTableFieldId="9"/>
    <tableColumn id="10" xr3:uid="{ADD64F80-0330-4458-AAAC-25EEBF6F6E6A}" uniqueName="10" name="Order quantities" queryTableFieldId="10"/>
    <tableColumn id="11" xr3:uid="{6D635FCB-A9DB-44C0-99D6-1AAEA248B811}" uniqueName="11" name="Shipping times" queryTableFieldId="11"/>
    <tableColumn id="12" xr3:uid="{F96C221E-BEE5-4A17-9039-F47FE86EE6BB}" uniqueName="12" name="Shipping carriers" queryTableFieldId="12" dataDxfId="40"/>
    <tableColumn id="13" xr3:uid="{0F457433-C7DB-4DB9-8CB2-179D096B73B6}" uniqueName="13" name="Shipping costs" queryTableFieldId="13"/>
    <tableColumn id="14" xr3:uid="{F39602A4-779A-414E-AE49-362E702C395B}" uniqueName="14" name="Supplier name" queryTableFieldId="14" dataDxfId="39"/>
    <tableColumn id="15" xr3:uid="{EF8ED479-83A4-4EB2-9D40-FF2F45400114}" uniqueName="15" name="Location" queryTableFieldId="15" dataDxfId="38"/>
    <tableColumn id="16" xr3:uid="{3B5B8A90-13AC-42BD-AFA5-461AFB6E0E98}" uniqueName="16" name="Lead time" queryTableFieldId="16"/>
    <tableColumn id="17" xr3:uid="{619E24A2-4B2A-4DF9-AEEA-C66055CDB711}" uniqueName="17" name="Production volumes" queryTableFieldId="17"/>
    <tableColumn id="18" xr3:uid="{8B63F994-1CB2-4F41-AA99-18E7CB7A2220}" uniqueName="18" name="Manufacturing lead time" queryTableFieldId="18"/>
    <tableColumn id="19" xr3:uid="{072A9713-3A1E-432F-B3EB-7679463F1519}" uniqueName="19" name="Manufacturing costs" queryTableFieldId="19"/>
    <tableColumn id="20" xr3:uid="{7B866A8F-1BC1-49E4-977A-3FEA5F1A340C}" uniqueName="20" name="Inspection results" queryTableFieldId="20" dataDxfId="37"/>
    <tableColumn id="21" xr3:uid="{B69D9A7D-022C-46F7-9361-F0E13F4A3ED6}" uniqueName="21" name="Defect rates" queryTableFieldId="21"/>
    <tableColumn id="22" xr3:uid="{BD17FDA5-4384-49F8-8F0E-204B13D0FE6F}" uniqueName="22" name="Transportation modes" queryTableFieldId="22" dataDxfId="36"/>
    <tableColumn id="23" xr3:uid="{1502E972-139D-4636-A4A9-B117DA8B4765}" uniqueName="23" name="Routes" queryTableFieldId="23" dataDxfId="35"/>
    <tableColumn id="24" xr3:uid="{BBB10AF9-6B06-40C2-8ADD-7609C97AB253}" uniqueName="24" name="Costs"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5EFBF9-8A03-43ED-A24E-E3B47BE41E59}" name="supply_chain_data3" displayName="supply_chain_data3" ref="A1:AA101" tableType="queryTable" totalsRowShown="0" headerRowDxfId="34">
  <autoFilter ref="A1:AA101" xr:uid="{5D5EFBF9-8A03-43ED-A24E-E3B47BE41E59}"/>
  <tableColumns count="27">
    <tableColumn id="1" xr3:uid="{CA191CF4-2492-47F5-93AE-953965E4421E}" uniqueName="1" name="Product type" queryTableFieldId="1" dataDxfId="33"/>
    <tableColumn id="2" xr3:uid="{37363F29-AE33-4790-A7AC-5AE036F6176B}" uniqueName="2" name="SKU" queryTableFieldId="2" dataDxfId="32"/>
    <tableColumn id="3" xr3:uid="{75FD5C32-43B9-4A10-8C82-6E1060631D6F}" uniqueName="3" name="Price" queryTableFieldId="3" dataDxfId="31"/>
    <tableColumn id="4" xr3:uid="{E23D68EE-932A-4838-9C90-2899438B1D2C}" uniqueName="4" name="Availability" queryTableFieldId="4"/>
    <tableColumn id="5" xr3:uid="{B6E52547-00BD-492C-8B73-A92AEB3B2B3A}" uniqueName="5" name="Number of products sold" queryTableFieldId="5"/>
    <tableColumn id="6" xr3:uid="{010A6475-FED7-459B-A627-14E5385A1968}" uniqueName="6" name="Revenue generated" queryTableFieldId="6" dataDxfId="30"/>
    <tableColumn id="7" xr3:uid="{26EEE311-DB70-4877-B589-527B7D6D899A}" uniqueName="7" name="Customer demographics" queryTableFieldId="7" dataDxfId="29"/>
    <tableColumn id="8" xr3:uid="{195ED9BD-7BB0-46FF-AAF1-5ABA4FDCBE26}" uniqueName="8" name="Stock levels" queryTableFieldId="8"/>
    <tableColumn id="9" xr3:uid="{6DE156AF-5939-4E23-B593-077FAF9FBE59}" uniqueName="9" name="Lead times" queryTableFieldId="9"/>
    <tableColumn id="10" xr3:uid="{E1B05820-5B12-45B7-80A4-1880752EC251}" uniqueName="10" name="Order quantities" queryTableFieldId="10"/>
    <tableColumn id="11" xr3:uid="{B3A2F154-0E1F-48ED-9EE0-8B44E2EAC26C}" uniqueName="11" name="Shipping times" queryTableFieldId="11"/>
    <tableColumn id="12" xr3:uid="{5F269A42-D6CC-4EDF-9F94-816FC725EC56}" uniqueName="12" name="Shipping carriers" queryTableFieldId="12" dataDxfId="28"/>
    <tableColumn id="13" xr3:uid="{A9FE5134-3719-4081-A9E0-E15A5BFA3D08}" uniqueName="13" name="Shipping costs" queryTableFieldId="13" dataDxfId="27"/>
    <tableColumn id="14" xr3:uid="{AFD6D556-7A5E-472C-BE28-B8098FA359CA}" uniqueName="14" name="Supplier name" queryTableFieldId="14" dataDxfId="26"/>
    <tableColumn id="15" xr3:uid="{172EC733-3D10-411E-904F-8A92101F7C0E}" uniqueName="15" name="Location" queryTableFieldId="15" dataDxfId="25"/>
    <tableColumn id="16" xr3:uid="{75076191-36DA-47EE-A1B2-3C7FF3F72E2B}" uniqueName="16" name="Lead time" queryTableFieldId="16"/>
    <tableColumn id="17" xr3:uid="{B528AB46-C1F2-4339-AFB7-A4C6C3419631}" uniqueName="17" name="Production volumes" queryTableFieldId="17"/>
    <tableColumn id="18" xr3:uid="{3065B77F-9A29-41CB-B22C-08F55EEE03F0}" uniqueName="18" name="Manufacturing lead time" queryTableFieldId="18"/>
    <tableColumn id="19" xr3:uid="{FC9CC657-6BA8-480E-9DF7-E63D44FF02D6}" uniqueName="19" name="Manufacturing costs" queryTableFieldId="19" dataDxfId="24"/>
    <tableColumn id="20" xr3:uid="{FB1A26DE-36B6-4147-AC16-CAD5140EB283}" uniqueName="20" name="Inspection results" queryTableFieldId="20" dataDxfId="23"/>
    <tableColumn id="21" xr3:uid="{4042B7F3-8F31-4CF8-BF07-70E1B604C50D}" uniqueName="21" name="Defect rates" queryTableFieldId="21"/>
    <tableColumn id="22" xr3:uid="{EFAF7EF4-2662-4A62-B2D7-4A2434D7A272}" uniqueName="22" name="Transportation modes" queryTableFieldId="22" dataDxfId="22"/>
    <tableColumn id="23" xr3:uid="{C1B2B7EE-0563-445F-85AC-62ADB1548B87}" uniqueName="23" name="Routes" queryTableFieldId="23" dataDxfId="21"/>
    <tableColumn id="24" xr3:uid="{022ABC92-43AF-4547-92B1-578C08839F57}" uniqueName="24" name="Costs" queryTableFieldId="24" dataDxfId="20"/>
    <tableColumn id="25" xr3:uid="{D7F2DC55-C7FE-47C6-ABAF-96F0D2E4615A}" uniqueName="25" name="Profit" queryTableFieldId="26" dataDxfId="19">
      <calculatedColumnFormula>supply_chain_data3[Revenue generated]-(supply_chain_data3[Manufacturing costs]+supply_chain_data3[Shipping costs]+supply_chain_data3[Costs])</calculatedColumnFormula>
    </tableColumn>
    <tableColumn id="26" xr3:uid="{6A6EDBD9-98BB-4A47-B480-B9FF6631A2CC}" uniqueName="26" name="Current Inventory Count" queryTableFieldId="27" dataDxfId="18">
      <calculatedColumnFormula>supply_chain_data3[Stock levels]+supply_chain_data3[Production volumes]+supply_chain_data3[Order quantities]-supply_chain_data3[Number of products sold]</calculatedColumnFormula>
    </tableColumn>
    <tableColumn id="27" xr3:uid="{5D18CB3C-FCB9-4541-8065-AB09CAE21282}" uniqueName="27" name="Defective Units" queryTableFieldId="28" dataDxfId="17">
      <calculatedColumnFormula>supply_chain_data3[Production volumes]*supply_chain_data3[Defect rates]</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2AFBEE-E743-428B-98E7-F1BE9690053A}" name="Table4" displayName="Table4" ref="AD15:AF16" totalsRowShown="0" headerRowBorderDxfId="16" tableBorderDxfId="15" totalsRowBorderDxfId="14">
  <autoFilter ref="AD15:AF16" xr:uid="{CC2AFBEE-E743-428B-98E7-F1BE9690053A}">
    <filterColumn colId="0" hiddenButton="1"/>
    <filterColumn colId="1" hiddenButton="1"/>
    <filterColumn colId="2" hiddenButton="1"/>
  </autoFilter>
  <tableColumns count="3">
    <tableColumn id="1" xr3:uid="{A31EE39B-CB43-49E9-82EB-33AB5D3DC456}" name="sla_shipping_time" dataDxfId="13"/>
    <tableColumn id="2" xr3:uid="{CCB4B64E-1F40-4054-A721-F86A284310E2}" name="SLA_order_fulfillment" dataDxfId="12"/>
    <tableColumn id="3" xr3:uid="{3FD1C29D-581F-4F2D-979D-E7BF67CA8AE3}" name="order_target"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B112E7-4384-42ED-8A13-6C60C5B030E6}" name="Table7" displayName="Table7" ref="Q24:T27" totalsRowShown="0">
  <autoFilter ref="Q24:T27" xr:uid="{4BB112E7-4384-42ED-8A13-6C60C5B030E6}">
    <filterColumn colId="0" hiddenButton="1"/>
    <filterColumn colId="1" hiddenButton="1"/>
    <filterColumn colId="2" hiddenButton="1"/>
    <filterColumn colId="3" hiddenButton="1"/>
  </autoFilter>
  <tableColumns count="4">
    <tableColumn id="1" xr3:uid="{833DE10F-EF0D-4FD6-8043-8D42FB73D5F5}" name="Row Labels"/>
    <tableColumn id="2" xr3:uid="{76DFC7B3-F6FE-4DDC-8D1A-B87148E547DF}" name="Average of Manufacturing lead time"/>
    <tableColumn id="3" xr3:uid="{1B6F28DC-CD27-4A5A-8ECD-E4671B8B5671}" name="Average of Shipping times"/>
    <tableColumn id="4" xr3:uid="{1E3EB0D8-FBB6-4CF3-8C0A-572BB846765A}" name="Average of Lead times"/>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7BE65E-20CA-4B60-914B-368ED83760E6}" name="Table3" displayName="Table3" ref="A2:B3" totalsRowShown="0" headerRowDxfId="8" headerRowBorderDxfId="7" tableBorderDxfId="6" totalsRowBorderDxfId="5">
  <autoFilter ref="A2:B3" xr:uid="{1B7BE65E-20CA-4B60-914B-368ED83760E6}">
    <filterColumn colId="0" hiddenButton="1"/>
    <filterColumn colId="1" hiddenButton="1"/>
  </autoFilter>
  <tableColumns count="2">
    <tableColumn id="1" xr3:uid="{5385E33C-3726-49E6-9568-0EDB920D6F2C}" name="On-Time Delivery %" dataDxfId="4" dataCellStyle="Percent">
      <calculatedColumnFormula>SUMPRODUCT(--(supply_chain_data3[Shipping costs]&lt;=supply_chain_data3[Lead time])) / COUNTA(supply_chain_data3[Lead time])</calculatedColumnFormula>
    </tableColumn>
    <tableColumn id="2" xr3:uid="{17B17961-B2B7-46CD-AAB2-9F22802C889C}" name="Sell-Through Rate %" dataDxfId="3" dataCellStyle="Percent">
      <calculatedColumnFormula>SUM(supply_chain_data3[Number of products sold]) / (SUM(supply_chain_data3[Number of products sold])+ ABS(SUM(supply_chain_data3[Current Inventory Count])))</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18D2-14D7-4200-B1B2-F9C558E9132A}" name="Table5" displayName="Table5" ref="A6:B9" totalsRowShown="0">
  <autoFilter ref="A6:B9" xr:uid="{E59F18D2-14D7-4200-B1B2-F9C558E9132A}">
    <filterColumn colId="0" hiddenButton="1"/>
    <filterColumn colId="1" hiddenButton="1"/>
  </autoFilter>
  <tableColumns count="2">
    <tableColumn id="1" xr3:uid="{54C07C7B-107A-44B2-ACD8-ACFE42780B4A}" name="label"/>
    <tableColumn id="2" xr3:uid="{30AED7BA-E7B7-4309-B945-2225C5E41F06}" name="val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DC3F58D-FE72-4F8D-BDB4-658EBC855B60}" name="Table6" displayName="Table6" ref="A11:B14" totalsRowShown="0" tableBorderDxfId="2">
  <autoFilter ref="A11:B14" xr:uid="{0DC3F58D-FE72-4F8D-BDB4-658EBC855B60}">
    <filterColumn colId="0" hiddenButton="1"/>
    <filterColumn colId="1" hiddenButton="1"/>
  </autoFilter>
  <tableColumns count="2">
    <tableColumn id="1" xr3:uid="{62082DD4-39FA-473A-AF63-326229E21506}" name="label"/>
    <tableColumn id="2" xr3:uid="{05E22C23-2B6C-41E7-9971-E691568520AA}" name="valu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69BC59A-56F6-4FEC-B8BE-12DA4C4646BD}" name="Table12" displayName="Table12" ref="D44:G64" totalsRowShown="0" headerRowCellStyle="Accent1">
  <autoFilter ref="D44:G64" xr:uid="{E69BC59A-56F6-4FEC-B8BE-12DA4C4646BD}"/>
  <tableColumns count="4">
    <tableColumn id="1" xr3:uid="{22F38F7B-0889-4D4E-84C7-EE9C562C60F1}" name="Row Labels" dataDxfId="1"/>
    <tableColumn id="2" xr3:uid="{542E8D96-94B7-4B5B-AAB8-E5F1D9437DD4}" name="Inventory Deficit">
      <calculatedColumnFormula>ABS($B43)</calculatedColumnFormula>
    </tableColumn>
    <tableColumn id="3" xr3:uid="{C51D1C2A-2A12-4E2A-B50D-85079EACB13C}" name="Cumulative Deficit">
      <calculatedColumnFormula>ABS($E$45:E45)</calculatedColumnFormula>
    </tableColumn>
    <tableColumn id="4" xr3:uid="{330ADBDB-BB60-4949-A37E-CBEB889CEB0F}" name="Cumulative %" dataDxfId="0">
      <calculatedColumnFormula>F45/SUM($E$45:$E$64)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 dockstate="right" visibility="0" width="350" row="1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E947159-3F6D-45FA-AB84-5FBE813DDFCD}">
  <we:reference id="wa200005401" version="1.2.1.0" store="en-001" storeType="OMEX"/>
  <we:alternateReferences>
    <we:reference id="WA200005401" version="1.2.1.0"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FC3C9DDE-D30A-4551-AA8D-329B76891EB4}">
  <we:reference id="wa200005669" version="2.0.0.0" store="en-US" storeType="OMEX"/>
  <we:alternateReferences>
    <we:reference id="WA200005669"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4.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pivotTable" Target="../pivotTables/pivotTable15.xml"/><Relationship Id="rId7" Type="http://schemas.openxmlformats.org/officeDocument/2006/relationships/table" Target="../tables/table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4.xml"/><Relationship Id="rId5" Type="http://schemas.openxmlformats.org/officeDocument/2006/relationships/pivotTable" Target="../pivotTables/pivotTable17.xml"/><Relationship Id="rId10" Type="http://schemas.openxmlformats.org/officeDocument/2006/relationships/table" Target="../tables/table8.xml"/><Relationship Id="rId4" Type="http://schemas.openxmlformats.org/officeDocument/2006/relationships/pivotTable" Target="../pivotTables/pivotTable16.xml"/><Relationship Id="rId9"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E076-D5D9-4584-BC46-36D6ABFC1BA3}">
  <dimension ref="A1:X101"/>
  <sheetViews>
    <sheetView workbookViewId="0">
      <selection activeCell="AC19" sqref="AC19"/>
    </sheetView>
  </sheetViews>
  <sheetFormatPr defaultRowHeight="15" x14ac:dyDescent="0.25"/>
  <cols>
    <col min="1" max="1" width="14.5703125" bestFit="1" customWidth="1"/>
    <col min="2" max="2" width="6.85546875" bestFit="1" customWidth="1"/>
    <col min="3" max="3" width="8.28515625" customWidth="1"/>
    <col min="4" max="4" width="13.28515625" bestFit="1" customWidth="1"/>
    <col min="5" max="5" width="25.5703125" bestFit="1" customWidth="1"/>
    <col min="6" max="6" width="21" bestFit="1" customWidth="1"/>
    <col min="7" max="7" width="25.140625" bestFit="1" customWidth="1"/>
    <col min="8" max="8" width="13.7109375" bestFit="1" customWidth="1"/>
    <col min="9" max="9" width="12.85546875" bestFit="1" customWidth="1"/>
    <col min="10" max="10" width="18" bestFit="1" customWidth="1"/>
    <col min="11" max="11" width="16.5703125" bestFit="1" customWidth="1"/>
    <col min="12" max="12" width="18.140625" bestFit="1" customWidth="1"/>
    <col min="13" max="13" width="16" bestFit="1" customWidth="1"/>
    <col min="14" max="14" width="16.28515625" bestFit="1" customWidth="1"/>
    <col min="15" max="15" width="10.7109375" bestFit="1" customWidth="1"/>
    <col min="16" max="16" width="12" bestFit="1" customWidth="1"/>
    <col min="17" max="17" width="21.28515625" bestFit="1" customWidth="1"/>
    <col min="18" max="18" width="25.5703125" bestFit="1" customWidth="1"/>
    <col min="19" max="19" width="21.42578125" bestFit="1" customWidth="1"/>
    <col min="20" max="20" width="19.140625" bestFit="1" customWidth="1"/>
    <col min="21" max="21" width="14" bestFit="1" customWidth="1"/>
    <col min="22" max="22" width="23" bestFit="1" customWidth="1"/>
    <col min="23" max="23" width="9.42578125" bestFit="1" customWidth="1"/>
    <col min="24" max="24" width="9"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v>69.808000000000007</v>
      </c>
      <c r="D2">
        <v>55</v>
      </c>
      <c r="E2">
        <v>802</v>
      </c>
      <c r="F2">
        <v>8661.9967923923832</v>
      </c>
      <c r="G2" t="s">
        <v>26</v>
      </c>
      <c r="H2">
        <v>58</v>
      </c>
      <c r="I2">
        <v>7</v>
      </c>
      <c r="J2">
        <v>96</v>
      </c>
      <c r="K2">
        <v>4</v>
      </c>
      <c r="L2" t="s">
        <v>27</v>
      </c>
      <c r="M2">
        <v>2.9565721394308069</v>
      </c>
      <c r="N2" t="s">
        <v>28</v>
      </c>
      <c r="O2" t="s">
        <v>29</v>
      </c>
      <c r="P2">
        <v>29</v>
      </c>
      <c r="Q2">
        <v>215</v>
      </c>
      <c r="R2">
        <v>29</v>
      </c>
      <c r="S2">
        <v>46.279899999999998</v>
      </c>
      <c r="T2" t="s">
        <v>30</v>
      </c>
      <c r="U2">
        <v>0.22641036084992516</v>
      </c>
      <c r="V2" t="s">
        <v>31</v>
      </c>
      <c r="W2" t="s">
        <v>32</v>
      </c>
      <c r="X2">
        <v>187.75210000000001</v>
      </c>
    </row>
    <row r="3" spans="1:24" x14ac:dyDescent="0.25">
      <c r="A3" t="s">
        <v>33</v>
      </c>
      <c r="B3" t="s">
        <v>34</v>
      </c>
      <c r="C3">
        <v>14.843500000000001</v>
      </c>
      <c r="D3">
        <v>95</v>
      </c>
      <c r="E3">
        <v>736</v>
      </c>
      <c r="F3">
        <v>7460.9000654458487</v>
      </c>
      <c r="G3" t="s">
        <v>35</v>
      </c>
      <c r="H3">
        <v>53</v>
      </c>
      <c r="I3">
        <v>30</v>
      </c>
      <c r="J3">
        <v>37</v>
      </c>
      <c r="K3">
        <v>2</v>
      </c>
      <c r="L3" t="s">
        <v>36</v>
      </c>
      <c r="M3">
        <v>9.7165747714313095</v>
      </c>
      <c r="N3" t="s">
        <v>28</v>
      </c>
      <c r="O3" t="s">
        <v>29</v>
      </c>
      <c r="P3">
        <v>23</v>
      </c>
      <c r="Q3">
        <v>517</v>
      </c>
      <c r="R3">
        <v>30</v>
      </c>
      <c r="S3">
        <v>33.616799999999998</v>
      </c>
      <c r="T3" t="s">
        <v>30</v>
      </c>
      <c r="U3">
        <v>4.8540680263887062</v>
      </c>
      <c r="V3" t="s">
        <v>31</v>
      </c>
      <c r="W3" t="s">
        <v>32</v>
      </c>
      <c r="X3">
        <v>503.06560000000002</v>
      </c>
    </row>
    <row r="4" spans="1:24" x14ac:dyDescent="0.25">
      <c r="A4" t="s">
        <v>24</v>
      </c>
      <c r="B4" t="s">
        <v>37</v>
      </c>
      <c r="C4">
        <v>11.319699999999999</v>
      </c>
      <c r="D4">
        <v>34</v>
      </c>
      <c r="E4">
        <v>8</v>
      </c>
      <c r="F4">
        <v>9577.7496258687297</v>
      </c>
      <c r="G4" t="s">
        <v>38</v>
      </c>
      <c r="H4">
        <v>1</v>
      </c>
      <c r="I4">
        <v>10</v>
      </c>
      <c r="J4">
        <v>88</v>
      </c>
      <c r="K4">
        <v>2</v>
      </c>
      <c r="L4" t="s">
        <v>27</v>
      </c>
      <c r="M4">
        <v>8.0544792617321548</v>
      </c>
      <c r="N4" t="s">
        <v>39</v>
      </c>
      <c r="O4" t="s">
        <v>29</v>
      </c>
      <c r="P4">
        <v>12</v>
      </c>
      <c r="Q4">
        <v>971</v>
      </c>
      <c r="R4">
        <v>27</v>
      </c>
      <c r="S4">
        <v>30.687999999999999</v>
      </c>
      <c r="T4" t="s">
        <v>30</v>
      </c>
      <c r="U4">
        <v>4.580592619199229</v>
      </c>
      <c r="V4" t="s">
        <v>40</v>
      </c>
      <c r="W4" t="s">
        <v>41</v>
      </c>
      <c r="X4">
        <v>141.9203</v>
      </c>
    </row>
    <row r="5" spans="1:24" x14ac:dyDescent="0.25">
      <c r="A5" t="s">
        <v>33</v>
      </c>
      <c r="B5" t="s">
        <v>42</v>
      </c>
      <c r="C5">
        <v>61.1633</v>
      </c>
      <c r="D5">
        <v>68</v>
      </c>
      <c r="E5">
        <v>83</v>
      </c>
      <c r="F5">
        <v>7766.8364256852328</v>
      </c>
      <c r="G5" t="s">
        <v>26</v>
      </c>
      <c r="H5">
        <v>23</v>
      </c>
      <c r="I5">
        <v>13</v>
      </c>
      <c r="J5">
        <v>59</v>
      </c>
      <c r="K5">
        <v>6</v>
      </c>
      <c r="L5" t="s">
        <v>43</v>
      </c>
      <c r="M5">
        <v>1.7295685635434288</v>
      </c>
      <c r="N5" t="s">
        <v>44</v>
      </c>
      <c r="O5" t="s">
        <v>45</v>
      </c>
      <c r="P5">
        <v>24</v>
      </c>
      <c r="Q5">
        <v>937</v>
      </c>
      <c r="R5">
        <v>18</v>
      </c>
      <c r="S5">
        <v>35.624699999999997</v>
      </c>
      <c r="T5" t="s">
        <v>46</v>
      </c>
      <c r="U5">
        <v>4.7466486206477496</v>
      </c>
      <c r="V5" t="s">
        <v>47</v>
      </c>
      <c r="W5" t="s">
        <v>48</v>
      </c>
      <c r="X5">
        <v>254.77619999999999</v>
      </c>
    </row>
    <row r="6" spans="1:24" x14ac:dyDescent="0.25">
      <c r="A6" t="s">
        <v>33</v>
      </c>
      <c r="B6" t="s">
        <v>49</v>
      </c>
      <c r="C6">
        <v>4.8055000000000003</v>
      </c>
      <c r="D6">
        <v>26</v>
      </c>
      <c r="E6">
        <v>871</v>
      </c>
      <c r="F6">
        <v>2686.5051515674468</v>
      </c>
      <c r="G6" t="s">
        <v>26</v>
      </c>
      <c r="H6">
        <v>5</v>
      </c>
      <c r="I6">
        <v>3</v>
      </c>
      <c r="J6">
        <v>56</v>
      </c>
      <c r="K6">
        <v>8</v>
      </c>
      <c r="L6" t="s">
        <v>36</v>
      </c>
      <c r="M6">
        <v>3.8905479158706715</v>
      </c>
      <c r="N6" t="s">
        <v>39</v>
      </c>
      <c r="O6" t="s">
        <v>50</v>
      </c>
      <c r="P6">
        <v>5</v>
      </c>
      <c r="Q6">
        <v>414</v>
      </c>
      <c r="R6">
        <v>3</v>
      </c>
      <c r="S6">
        <v>92.065200000000004</v>
      </c>
      <c r="T6" t="s">
        <v>46</v>
      </c>
      <c r="U6">
        <v>3.1455795228330019</v>
      </c>
      <c r="V6" t="s">
        <v>40</v>
      </c>
      <c r="W6" t="s">
        <v>48</v>
      </c>
      <c r="X6">
        <v>923.44060000000002</v>
      </c>
    </row>
    <row r="7" spans="1:24" x14ac:dyDescent="0.25">
      <c r="A7" t="s">
        <v>24</v>
      </c>
      <c r="B7" t="s">
        <v>51</v>
      </c>
      <c r="C7">
        <v>1.7</v>
      </c>
      <c r="D7">
        <v>87</v>
      </c>
      <c r="E7">
        <v>147</v>
      </c>
      <c r="F7">
        <v>2828.3487459757589</v>
      </c>
      <c r="G7" t="s">
        <v>26</v>
      </c>
      <c r="H7">
        <v>90</v>
      </c>
      <c r="I7">
        <v>27</v>
      </c>
      <c r="J7">
        <v>66</v>
      </c>
      <c r="K7">
        <v>3</v>
      </c>
      <c r="L7" t="s">
        <v>27</v>
      </c>
      <c r="M7">
        <v>4.4440988643822932</v>
      </c>
      <c r="N7" t="s">
        <v>52</v>
      </c>
      <c r="O7" t="s">
        <v>53</v>
      </c>
      <c r="P7">
        <v>10</v>
      </c>
      <c r="Q7">
        <v>104</v>
      </c>
      <c r="R7">
        <v>17</v>
      </c>
      <c r="S7">
        <v>56.766500000000001</v>
      </c>
      <c r="T7" t="s">
        <v>46</v>
      </c>
      <c r="U7">
        <v>2.7791935115711617</v>
      </c>
      <c r="V7" t="s">
        <v>31</v>
      </c>
      <c r="W7" t="s">
        <v>48</v>
      </c>
      <c r="X7">
        <v>235.46119999999999</v>
      </c>
    </row>
    <row r="8" spans="1:24" x14ac:dyDescent="0.25">
      <c r="A8" t="s">
        <v>33</v>
      </c>
      <c r="B8" t="s">
        <v>54</v>
      </c>
      <c r="C8">
        <v>4.0782999999999996</v>
      </c>
      <c r="D8">
        <v>48</v>
      </c>
      <c r="E8">
        <v>65</v>
      </c>
      <c r="F8">
        <v>7823.4765595317367</v>
      </c>
      <c r="G8" t="s">
        <v>55</v>
      </c>
      <c r="H8">
        <v>11</v>
      </c>
      <c r="I8">
        <v>15</v>
      </c>
      <c r="J8">
        <v>58</v>
      </c>
      <c r="K8">
        <v>8</v>
      </c>
      <c r="L8" t="s">
        <v>43</v>
      </c>
      <c r="M8">
        <v>3.8807633029520034</v>
      </c>
      <c r="N8" t="s">
        <v>28</v>
      </c>
      <c r="O8" t="s">
        <v>45</v>
      </c>
      <c r="P8">
        <v>14</v>
      </c>
      <c r="Q8">
        <v>314</v>
      </c>
      <c r="R8">
        <v>24</v>
      </c>
      <c r="S8">
        <v>1.0851</v>
      </c>
      <c r="T8" t="s">
        <v>30</v>
      </c>
      <c r="U8">
        <v>1.0009106193041357</v>
      </c>
      <c r="V8" t="s">
        <v>56</v>
      </c>
      <c r="W8" t="s">
        <v>48</v>
      </c>
      <c r="X8">
        <v>134.3691</v>
      </c>
    </row>
    <row r="9" spans="1:24" x14ac:dyDescent="0.25">
      <c r="A9" t="s">
        <v>57</v>
      </c>
      <c r="B9" t="s">
        <v>58</v>
      </c>
      <c r="C9">
        <v>42.958399999999997</v>
      </c>
      <c r="D9">
        <v>59</v>
      </c>
      <c r="E9">
        <v>426</v>
      </c>
      <c r="F9">
        <v>8496.1038130898378</v>
      </c>
      <c r="G9" t="s">
        <v>35</v>
      </c>
      <c r="H9">
        <v>93</v>
      </c>
      <c r="I9">
        <v>17</v>
      </c>
      <c r="J9">
        <v>11</v>
      </c>
      <c r="K9">
        <v>1</v>
      </c>
      <c r="L9" t="s">
        <v>27</v>
      </c>
      <c r="M9">
        <v>2.3483387844177805</v>
      </c>
      <c r="N9" t="s">
        <v>52</v>
      </c>
      <c r="O9" t="s">
        <v>53</v>
      </c>
      <c r="P9">
        <v>22</v>
      </c>
      <c r="Q9">
        <v>564</v>
      </c>
      <c r="R9">
        <v>1</v>
      </c>
      <c r="S9">
        <v>99.466099999999997</v>
      </c>
      <c r="T9" t="s">
        <v>46</v>
      </c>
      <c r="U9">
        <v>0.39817718685065062</v>
      </c>
      <c r="V9" t="s">
        <v>31</v>
      </c>
      <c r="W9" t="s">
        <v>41</v>
      </c>
      <c r="X9">
        <v>802.05629999999996</v>
      </c>
    </row>
    <row r="10" spans="1:24" x14ac:dyDescent="0.25">
      <c r="A10" t="s">
        <v>57</v>
      </c>
      <c r="B10" t="s">
        <v>59</v>
      </c>
      <c r="C10">
        <v>68.717600000000004</v>
      </c>
      <c r="D10">
        <v>78</v>
      </c>
      <c r="E10">
        <v>150</v>
      </c>
      <c r="F10">
        <v>7517.363210631127</v>
      </c>
      <c r="G10" t="s">
        <v>35</v>
      </c>
      <c r="H10">
        <v>5</v>
      </c>
      <c r="I10">
        <v>10</v>
      </c>
      <c r="J10">
        <v>15</v>
      </c>
      <c r="K10">
        <v>7</v>
      </c>
      <c r="L10" t="s">
        <v>43</v>
      </c>
      <c r="M10">
        <v>3.4047338570830266</v>
      </c>
      <c r="N10" t="s">
        <v>52</v>
      </c>
      <c r="O10" t="s">
        <v>29</v>
      </c>
      <c r="P10">
        <v>13</v>
      </c>
      <c r="Q10">
        <v>769</v>
      </c>
      <c r="R10">
        <v>8</v>
      </c>
      <c r="S10">
        <v>11.423</v>
      </c>
      <c r="T10" t="s">
        <v>30</v>
      </c>
      <c r="U10">
        <v>2.7098626911099615</v>
      </c>
      <c r="V10" t="s">
        <v>56</v>
      </c>
      <c r="W10" t="s">
        <v>32</v>
      </c>
      <c r="X10">
        <v>505.55709999999999</v>
      </c>
    </row>
    <row r="11" spans="1:24" x14ac:dyDescent="0.25">
      <c r="A11" t="s">
        <v>33</v>
      </c>
      <c r="B11" t="s">
        <v>60</v>
      </c>
      <c r="C11">
        <v>64.015699999999995</v>
      </c>
      <c r="D11">
        <v>35</v>
      </c>
      <c r="E11">
        <v>980</v>
      </c>
      <c r="F11">
        <v>4971.145987585558</v>
      </c>
      <c r="G11" t="s">
        <v>38</v>
      </c>
      <c r="H11">
        <v>14</v>
      </c>
      <c r="I11">
        <v>27</v>
      </c>
      <c r="J11">
        <v>83</v>
      </c>
      <c r="K11">
        <v>1</v>
      </c>
      <c r="L11" t="s">
        <v>36</v>
      </c>
      <c r="M11">
        <v>7.1666452910482157</v>
      </c>
      <c r="N11" t="s">
        <v>61</v>
      </c>
      <c r="O11" t="s">
        <v>62</v>
      </c>
      <c r="P11">
        <v>29</v>
      </c>
      <c r="Q11">
        <v>963</v>
      </c>
      <c r="R11">
        <v>23</v>
      </c>
      <c r="S11">
        <v>47.957599999999999</v>
      </c>
      <c r="T11" t="s">
        <v>30</v>
      </c>
      <c r="U11">
        <v>3.8446144787675851</v>
      </c>
      <c r="V11" t="s">
        <v>47</v>
      </c>
      <c r="W11" t="s">
        <v>32</v>
      </c>
      <c r="X11">
        <v>995.92949999999996</v>
      </c>
    </row>
    <row r="12" spans="1:24" x14ac:dyDescent="0.25">
      <c r="A12" t="s">
        <v>33</v>
      </c>
      <c r="B12" t="s">
        <v>63</v>
      </c>
      <c r="C12">
        <v>15.707800000000001</v>
      </c>
      <c r="D12">
        <v>11</v>
      </c>
      <c r="E12">
        <v>996</v>
      </c>
      <c r="F12">
        <v>2330.9658020919492</v>
      </c>
      <c r="G12" t="s">
        <v>26</v>
      </c>
      <c r="H12">
        <v>51</v>
      </c>
      <c r="I12">
        <v>13</v>
      </c>
      <c r="J12">
        <v>80</v>
      </c>
      <c r="K12">
        <v>2</v>
      </c>
      <c r="L12" t="s">
        <v>43</v>
      </c>
      <c r="M12">
        <v>8.6732112112786126</v>
      </c>
      <c r="N12" t="s">
        <v>44</v>
      </c>
      <c r="O12" t="s">
        <v>45</v>
      </c>
      <c r="P12">
        <v>18</v>
      </c>
      <c r="Q12">
        <v>830</v>
      </c>
      <c r="R12">
        <v>5</v>
      </c>
      <c r="S12">
        <v>96.5274</v>
      </c>
      <c r="T12" t="s">
        <v>64</v>
      </c>
      <c r="U12">
        <v>1.7273139283559424</v>
      </c>
      <c r="V12" t="s">
        <v>31</v>
      </c>
      <c r="W12" t="s">
        <v>32</v>
      </c>
      <c r="X12">
        <v>806.10320000000002</v>
      </c>
    </row>
    <row r="13" spans="1:24" x14ac:dyDescent="0.25">
      <c r="A13" t="s">
        <v>33</v>
      </c>
      <c r="B13" t="s">
        <v>65</v>
      </c>
      <c r="C13">
        <v>90.635499999999993</v>
      </c>
      <c r="D13">
        <v>95</v>
      </c>
      <c r="E13">
        <v>960</v>
      </c>
      <c r="F13">
        <v>6099.944115581452</v>
      </c>
      <c r="G13" t="s">
        <v>35</v>
      </c>
      <c r="H13">
        <v>46</v>
      </c>
      <c r="I13">
        <v>23</v>
      </c>
      <c r="J13">
        <v>60</v>
      </c>
      <c r="K13">
        <v>1</v>
      </c>
      <c r="L13" t="s">
        <v>36</v>
      </c>
      <c r="M13">
        <v>4.5239431243166628</v>
      </c>
      <c r="N13" t="s">
        <v>61</v>
      </c>
      <c r="O13" t="s">
        <v>45</v>
      </c>
      <c r="P13">
        <v>28</v>
      </c>
      <c r="Q13">
        <v>362</v>
      </c>
      <c r="R13">
        <v>11</v>
      </c>
      <c r="S13">
        <v>27.592400000000001</v>
      </c>
      <c r="T13" t="s">
        <v>30</v>
      </c>
      <c r="U13">
        <v>2.1169821372994391E-2</v>
      </c>
      <c r="V13" t="s">
        <v>40</v>
      </c>
      <c r="W13" t="s">
        <v>48</v>
      </c>
      <c r="X13">
        <v>126.723</v>
      </c>
    </row>
    <row r="14" spans="1:24" x14ac:dyDescent="0.25">
      <c r="A14" t="s">
        <v>24</v>
      </c>
      <c r="B14" t="s">
        <v>66</v>
      </c>
      <c r="C14">
        <v>71.213399999999993</v>
      </c>
      <c r="D14">
        <v>41</v>
      </c>
      <c r="E14">
        <v>336</v>
      </c>
      <c r="F14">
        <v>2873.7414460214413</v>
      </c>
      <c r="G14" t="s">
        <v>38</v>
      </c>
      <c r="H14">
        <v>100</v>
      </c>
      <c r="I14">
        <v>30</v>
      </c>
      <c r="J14">
        <v>85</v>
      </c>
      <c r="K14">
        <v>4</v>
      </c>
      <c r="L14" t="s">
        <v>36</v>
      </c>
      <c r="M14">
        <v>1.325274010184522</v>
      </c>
      <c r="N14" t="s">
        <v>52</v>
      </c>
      <c r="O14" t="s">
        <v>45</v>
      </c>
      <c r="P14">
        <v>3</v>
      </c>
      <c r="Q14">
        <v>563</v>
      </c>
      <c r="R14">
        <v>3</v>
      </c>
      <c r="S14">
        <v>32.321300000000001</v>
      </c>
      <c r="T14" t="s">
        <v>46</v>
      </c>
      <c r="U14">
        <v>2.1612537475559117</v>
      </c>
      <c r="V14" t="s">
        <v>31</v>
      </c>
      <c r="W14" t="s">
        <v>32</v>
      </c>
      <c r="X14">
        <v>402.96879999999999</v>
      </c>
    </row>
    <row r="15" spans="1:24" x14ac:dyDescent="0.25">
      <c r="A15" t="s">
        <v>33</v>
      </c>
      <c r="B15" t="s">
        <v>67</v>
      </c>
      <c r="C15">
        <v>16.160399999999999</v>
      </c>
      <c r="D15">
        <v>5</v>
      </c>
      <c r="E15">
        <v>249</v>
      </c>
      <c r="F15">
        <v>4052.7384162378667</v>
      </c>
      <c r="G15" t="s">
        <v>55</v>
      </c>
      <c r="H15">
        <v>80</v>
      </c>
      <c r="I15">
        <v>8</v>
      </c>
      <c r="J15">
        <v>48</v>
      </c>
      <c r="K15">
        <v>9</v>
      </c>
      <c r="L15" t="s">
        <v>36</v>
      </c>
      <c r="M15">
        <v>9.5372830611083383</v>
      </c>
      <c r="N15" t="s">
        <v>44</v>
      </c>
      <c r="O15" t="s">
        <v>53</v>
      </c>
      <c r="P15">
        <v>23</v>
      </c>
      <c r="Q15">
        <v>173</v>
      </c>
      <c r="R15">
        <v>10</v>
      </c>
      <c r="S15">
        <v>97.829099999999997</v>
      </c>
      <c r="T15" t="s">
        <v>30</v>
      </c>
      <c r="U15">
        <v>1.6310742300715386</v>
      </c>
      <c r="V15" t="s">
        <v>31</v>
      </c>
      <c r="W15" t="s">
        <v>32</v>
      </c>
      <c r="X15">
        <v>547.24099999999999</v>
      </c>
    </row>
    <row r="16" spans="1:24" x14ac:dyDescent="0.25">
      <c r="A16" t="s">
        <v>33</v>
      </c>
      <c r="B16" t="s">
        <v>68</v>
      </c>
      <c r="C16">
        <v>99.171300000000002</v>
      </c>
      <c r="D16">
        <v>26</v>
      </c>
      <c r="E16">
        <v>562</v>
      </c>
      <c r="F16">
        <v>8653.5709264698016</v>
      </c>
      <c r="G16" t="s">
        <v>26</v>
      </c>
      <c r="H16">
        <v>54</v>
      </c>
      <c r="I16">
        <v>29</v>
      </c>
      <c r="J16">
        <v>78</v>
      </c>
      <c r="K16">
        <v>5</v>
      </c>
      <c r="L16" t="s">
        <v>27</v>
      </c>
      <c r="M16">
        <v>2.0397701894493316</v>
      </c>
      <c r="N16" t="s">
        <v>39</v>
      </c>
      <c r="O16" t="s">
        <v>45</v>
      </c>
      <c r="P16">
        <v>25</v>
      </c>
      <c r="Q16">
        <v>558</v>
      </c>
      <c r="R16">
        <v>14</v>
      </c>
      <c r="S16">
        <v>5.7914000000000003</v>
      </c>
      <c r="T16" t="s">
        <v>30</v>
      </c>
      <c r="U16">
        <v>0.10068285156509371</v>
      </c>
      <c r="V16" t="s">
        <v>40</v>
      </c>
      <c r="W16" t="s">
        <v>32</v>
      </c>
      <c r="X16">
        <v>929.23530000000005</v>
      </c>
    </row>
    <row r="17" spans="1:24" x14ac:dyDescent="0.25">
      <c r="A17" t="s">
        <v>33</v>
      </c>
      <c r="B17" t="s">
        <v>69</v>
      </c>
      <c r="C17">
        <v>36.989199999999997</v>
      </c>
      <c r="D17">
        <v>94</v>
      </c>
      <c r="E17">
        <v>469</v>
      </c>
      <c r="F17">
        <v>5442.0867853976733</v>
      </c>
      <c r="G17" t="s">
        <v>26</v>
      </c>
      <c r="H17">
        <v>9</v>
      </c>
      <c r="I17">
        <v>8</v>
      </c>
      <c r="J17">
        <v>69</v>
      </c>
      <c r="K17">
        <v>7</v>
      </c>
      <c r="L17" t="s">
        <v>27</v>
      </c>
      <c r="M17">
        <v>2.4220397232752044</v>
      </c>
      <c r="N17" t="s">
        <v>39</v>
      </c>
      <c r="O17" t="s">
        <v>53</v>
      </c>
      <c r="P17">
        <v>14</v>
      </c>
      <c r="Q17">
        <v>580</v>
      </c>
      <c r="R17">
        <v>7</v>
      </c>
      <c r="S17">
        <v>97.121300000000005</v>
      </c>
      <c r="T17" t="s">
        <v>64</v>
      </c>
      <c r="U17">
        <v>2.2644057611985491</v>
      </c>
      <c r="V17" t="s">
        <v>56</v>
      </c>
      <c r="W17" t="s">
        <v>32</v>
      </c>
      <c r="X17">
        <v>127.8618</v>
      </c>
    </row>
    <row r="18" spans="1:24" x14ac:dyDescent="0.25">
      <c r="A18" t="s">
        <v>33</v>
      </c>
      <c r="B18" t="s">
        <v>70</v>
      </c>
      <c r="C18">
        <v>7.5472000000000001</v>
      </c>
      <c r="D18">
        <v>74</v>
      </c>
      <c r="E18">
        <v>280</v>
      </c>
      <c r="F18">
        <v>6453.7979681762854</v>
      </c>
      <c r="G18" t="s">
        <v>35</v>
      </c>
      <c r="H18">
        <v>2</v>
      </c>
      <c r="I18">
        <v>5</v>
      </c>
      <c r="J18">
        <v>78</v>
      </c>
      <c r="K18">
        <v>1</v>
      </c>
      <c r="L18" t="s">
        <v>27</v>
      </c>
      <c r="M18">
        <v>4.1913245857055017</v>
      </c>
      <c r="N18" t="s">
        <v>39</v>
      </c>
      <c r="O18" t="s">
        <v>53</v>
      </c>
      <c r="P18">
        <v>3</v>
      </c>
      <c r="Q18">
        <v>399</v>
      </c>
      <c r="R18">
        <v>21</v>
      </c>
      <c r="S18">
        <v>77.106300000000005</v>
      </c>
      <c r="T18" t="s">
        <v>64</v>
      </c>
      <c r="U18">
        <v>1.0125630892580491</v>
      </c>
      <c r="V18" t="s">
        <v>40</v>
      </c>
      <c r="W18" t="s">
        <v>48</v>
      </c>
      <c r="X18">
        <v>865.5258</v>
      </c>
    </row>
    <row r="19" spans="1:24" x14ac:dyDescent="0.25">
      <c r="A19" t="s">
        <v>57</v>
      </c>
      <c r="B19" t="s">
        <v>71</v>
      </c>
      <c r="C19">
        <v>81.462500000000006</v>
      </c>
      <c r="D19">
        <v>82</v>
      </c>
      <c r="E19">
        <v>126</v>
      </c>
      <c r="F19">
        <v>2629.3964348452619</v>
      </c>
      <c r="G19" t="s">
        <v>35</v>
      </c>
      <c r="H19">
        <v>45</v>
      </c>
      <c r="I19">
        <v>17</v>
      </c>
      <c r="J19">
        <v>85</v>
      </c>
      <c r="K19">
        <v>9</v>
      </c>
      <c r="L19" t="s">
        <v>43</v>
      </c>
      <c r="M19">
        <v>3.5854189582323421</v>
      </c>
      <c r="N19" t="s">
        <v>39</v>
      </c>
      <c r="O19" t="s">
        <v>62</v>
      </c>
      <c r="P19">
        <v>7</v>
      </c>
      <c r="Q19">
        <v>453</v>
      </c>
      <c r="R19">
        <v>16</v>
      </c>
      <c r="S19">
        <v>47.679699999999997</v>
      </c>
      <c r="T19" t="s">
        <v>46</v>
      </c>
      <c r="U19">
        <v>0.10202075491817619</v>
      </c>
      <c r="V19" t="s">
        <v>40</v>
      </c>
      <c r="W19" t="s">
        <v>41</v>
      </c>
      <c r="X19">
        <v>670.93439999999998</v>
      </c>
    </row>
    <row r="20" spans="1:24" x14ac:dyDescent="0.25">
      <c r="A20" t="s">
        <v>24</v>
      </c>
      <c r="B20" t="s">
        <v>72</v>
      </c>
      <c r="C20">
        <v>36.443600000000004</v>
      </c>
      <c r="D20">
        <v>23</v>
      </c>
      <c r="E20">
        <v>620</v>
      </c>
      <c r="F20">
        <v>9364.6735050761727</v>
      </c>
      <c r="G20" t="s">
        <v>38</v>
      </c>
      <c r="H20">
        <v>10</v>
      </c>
      <c r="I20">
        <v>10</v>
      </c>
      <c r="J20">
        <v>46</v>
      </c>
      <c r="K20">
        <v>8</v>
      </c>
      <c r="L20" t="s">
        <v>43</v>
      </c>
      <c r="M20">
        <v>4.339224714110709</v>
      </c>
      <c r="N20" t="s">
        <v>61</v>
      </c>
      <c r="O20" t="s">
        <v>45</v>
      </c>
      <c r="P20">
        <v>18</v>
      </c>
      <c r="Q20">
        <v>374</v>
      </c>
      <c r="R20">
        <v>17</v>
      </c>
      <c r="S20">
        <v>27.108000000000001</v>
      </c>
      <c r="T20" t="s">
        <v>30</v>
      </c>
      <c r="U20">
        <v>2.2319391107292637</v>
      </c>
      <c r="V20" t="s">
        <v>56</v>
      </c>
      <c r="W20" t="s">
        <v>48</v>
      </c>
      <c r="X20">
        <v>593.48030000000006</v>
      </c>
    </row>
    <row r="21" spans="1:24" x14ac:dyDescent="0.25">
      <c r="A21" t="s">
        <v>33</v>
      </c>
      <c r="B21" t="s">
        <v>73</v>
      </c>
      <c r="C21">
        <v>51.123899999999999</v>
      </c>
      <c r="D21">
        <v>100</v>
      </c>
      <c r="E21">
        <v>187</v>
      </c>
      <c r="F21">
        <v>2553.4955849912149</v>
      </c>
      <c r="G21" t="s">
        <v>38</v>
      </c>
      <c r="H21">
        <v>48</v>
      </c>
      <c r="I21">
        <v>11</v>
      </c>
      <c r="J21">
        <v>94</v>
      </c>
      <c r="K21">
        <v>3</v>
      </c>
      <c r="L21" t="s">
        <v>36</v>
      </c>
      <c r="M21">
        <v>4.7426358828418769</v>
      </c>
      <c r="N21" t="s">
        <v>52</v>
      </c>
      <c r="O21" t="s">
        <v>62</v>
      </c>
      <c r="P21">
        <v>20</v>
      </c>
      <c r="Q21">
        <v>694</v>
      </c>
      <c r="R21">
        <v>16</v>
      </c>
      <c r="S21">
        <v>82.3733</v>
      </c>
      <c r="T21" t="s">
        <v>46</v>
      </c>
      <c r="U21">
        <v>3.6464508654170293</v>
      </c>
      <c r="V21" t="s">
        <v>31</v>
      </c>
      <c r="W21" t="s">
        <v>41</v>
      </c>
      <c r="X21">
        <v>477.30759999999998</v>
      </c>
    </row>
    <row r="22" spans="1:24" x14ac:dyDescent="0.25">
      <c r="A22" t="s">
        <v>33</v>
      </c>
      <c r="B22" t="s">
        <v>74</v>
      </c>
      <c r="C22">
        <v>96.341099999999997</v>
      </c>
      <c r="D22">
        <v>22</v>
      </c>
      <c r="E22">
        <v>320</v>
      </c>
      <c r="F22">
        <v>8128.0276968511916</v>
      </c>
      <c r="G22" t="s">
        <v>38</v>
      </c>
      <c r="H22">
        <v>27</v>
      </c>
      <c r="I22">
        <v>12</v>
      </c>
      <c r="J22">
        <v>68</v>
      </c>
      <c r="K22">
        <v>6</v>
      </c>
      <c r="L22" t="s">
        <v>36</v>
      </c>
      <c r="M22">
        <v>8.8783346509268402</v>
      </c>
      <c r="N22" t="s">
        <v>39</v>
      </c>
      <c r="O22" t="s">
        <v>62</v>
      </c>
      <c r="P22">
        <v>29</v>
      </c>
      <c r="Q22">
        <v>309</v>
      </c>
      <c r="R22">
        <v>6</v>
      </c>
      <c r="S22">
        <v>65.686300000000003</v>
      </c>
      <c r="T22" t="s">
        <v>64</v>
      </c>
      <c r="U22">
        <v>4.2314165735345393</v>
      </c>
      <c r="V22" t="s">
        <v>40</v>
      </c>
      <c r="W22" t="s">
        <v>32</v>
      </c>
      <c r="X22">
        <v>493.87119999999999</v>
      </c>
    </row>
    <row r="23" spans="1:24" x14ac:dyDescent="0.25">
      <c r="A23" t="s">
        <v>57</v>
      </c>
      <c r="B23" t="s">
        <v>75</v>
      </c>
      <c r="C23">
        <v>84.893900000000002</v>
      </c>
      <c r="D23">
        <v>60</v>
      </c>
      <c r="E23">
        <v>601</v>
      </c>
      <c r="F23">
        <v>7087.0526963574366</v>
      </c>
      <c r="G23" t="s">
        <v>38</v>
      </c>
      <c r="H23">
        <v>69</v>
      </c>
      <c r="I23">
        <v>25</v>
      </c>
      <c r="J23">
        <v>7</v>
      </c>
      <c r="K23">
        <v>6</v>
      </c>
      <c r="L23" t="s">
        <v>27</v>
      </c>
      <c r="M23">
        <v>6.0378837692182978</v>
      </c>
      <c r="N23" t="s">
        <v>44</v>
      </c>
      <c r="O23" t="s">
        <v>62</v>
      </c>
      <c r="P23">
        <v>19</v>
      </c>
      <c r="Q23">
        <v>791</v>
      </c>
      <c r="R23">
        <v>4</v>
      </c>
      <c r="S23">
        <v>61.735700000000001</v>
      </c>
      <c r="T23" t="s">
        <v>30</v>
      </c>
      <c r="U23">
        <v>1.8607567631014899E-2</v>
      </c>
      <c r="V23" t="s">
        <v>40</v>
      </c>
      <c r="W23" t="s">
        <v>41</v>
      </c>
      <c r="X23">
        <v>523.36090000000002</v>
      </c>
    </row>
    <row r="24" spans="1:24" x14ac:dyDescent="0.25">
      <c r="A24" t="s">
        <v>24</v>
      </c>
      <c r="B24" t="s">
        <v>76</v>
      </c>
      <c r="C24">
        <v>27.6798</v>
      </c>
      <c r="D24">
        <v>55</v>
      </c>
      <c r="E24">
        <v>884</v>
      </c>
      <c r="F24">
        <v>2390.8078665561734</v>
      </c>
      <c r="G24" t="s">
        <v>38</v>
      </c>
      <c r="H24">
        <v>71</v>
      </c>
      <c r="I24">
        <v>1</v>
      </c>
      <c r="J24">
        <v>63</v>
      </c>
      <c r="K24">
        <v>10</v>
      </c>
      <c r="L24" t="s">
        <v>36</v>
      </c>
      <c r="M24">
        <v>9.5676489209230393</v>
      </c>
      <c r="N24" t="s">
        <v>52</v>
      </c>
      <c r="O24" t="s">
        <v>45</v>
      </c>
      <c r="P24">
        <v>22</v>
      </c>
      <c r="Q24">
        <v>780</v>
      </c>
      <c r="R24">
        <v>28</v>
      </c>
      <c r="S24">
        <v>50.120800000000003</v>
      </c>
      <c r="T24" t="s">
        <v>46</v>
      </c>
      <c r="U24">
        <v>2.5912754732111161</v>
      </c>
      <c r="V24" t="s">
        <v>47</v>
      </c>
      <c r="W24" t="s">
        <v>41</v>
      </c>
      <c r="X24">
        <v>205.572</v>
      </c>
    </row>
    <row r="25" spans="1:24" x14ac:dyDescent="0.25">
      <c r="A25" t="s">
        <v>57</v>
      </c>
      <c r="B25" t="s">
        <v>77</v>
      </c>
      <c r="C25">
        <v>4.3243</v>
      </c>
      <c r="D25">
        <v>30</v>
      </c>
      <c r="E25">
        <v>391</v>
      </c>
      <c r="F25">
        <v>8858.367571011484</v>
      </c>
      <c r="G25" t="s">
        <v>38</v>
      </c>
      <c r="H25">
        <v>84</v>
      </c>
      <c r="I25">
        <v>5</v>
      </c>
      <c r="J25">
        <v>29</v>
      </c>
      <c r="K25">
        <v>7</v>
      </c>
      <c r="L25" t="s">
        <v>36</v>
      </c>
      <c r="M25">
        <v>2.924857601145554</v>
      </c>
      <c r="N25" t="s">
        <v>44</v>
      </c>
      <c r="O25" t="s">
        <v>45</v>
      </c>
      <c r="P25">
        <v>11</v>
      </c>
      <c r="Q25">
        <v>568</v>
      </c>
      <c r="R25">
        <v>29</v>
      </c>
      <c r="S25">
        <v>98.61</v>
      </c>
      <c r="T25" t="s">
        <v>30</v>
      </c>
      <c r="U25">
        <v>1.3422915627227339</v>
      </c>
      <c r="V25" t="s">
        <v>47</v>
      </c>
      <c r="W25" t="s">
        <v>48</v>
      </c>
      <c r="X25">
        <v>196.32939999999999</v>
      </c>
    </row>
    <row r="26" spans="1:24" x14ac:dyDescent="0.25">
      <c r="A26" t="s">
        <v>24</v>
      </c>
      <c r="B26" t="s">
        <v>78</v>
      </c>
      <c r="C26">
        <v>4.1562999999999999</v>
      </c>
      <c r="D26">
        <v>32</v>
      </c>
      <c r="E26">
        <v>209</v>
      </c>
      <c r="F26">
        <v>9049.0778609398967</v>
      </c>
      <c r="G26" t="s">
        <v>55</v>
      </c>
      <c r="H26">
        <v>4</v>
      </c>
      <c r="I26">
        <v>26</v>
      </c>
      <c r="J26">
        <v>2</v>
      </c>
      <c r="K26">
        <v>8</v>
      </c>
      <c r="L26" t="s">
        <v>43</v>
      </c>
      <c r="M26">
        <v>9.7412916892843686</v>
      </c>
      <c r="N26" t="s">
        <v>61</v>
      </c>
      <c r="O26" t="s">
        <v>53</v>
      </c>
      <c r="P26">
        <v>28</v>
      </c>
      <c r="Q26">
        <v>447</v>
      </c>
      <c r="R26">
        <v>3</v>
      </c>
      <c r="S26">
        <v>40.382399999999997</v>
      </c>
      <c r="T26" t="s">
        <v>30</v>
      </c>
      <c r="U26">
        <v>3.691310292628728</v>
      </c>
      <c r="V26" t="s">
        <v>40</v>
      </c>
      <c r="W26" t="s">
        <v>48</v>
      </c>
      <c r="X26">
        <v>758.72479999999996</v>
      </c>
    </row>
    <row r="27" spans="1:24" x14ac:dyDescent="0.25">
      <c r="A27" t="s">
        <v>24</v>
      </c>
      <c r="B27" t="s">
        <v>79</v>
      </c>
      <c r="C27">
        <v>39.629300000000001</v>
      </c>
      <c r="D27">
        <v>73</v>
      </c>
      <c r="E27">
        <v>142</v>
      </c>
      <c r="F27">
        <v>2174.777054350654</v>
      </c>
      <c r="G27" t="s">
        <v>55</v>
      </c>
      <c r="H27">
        <v>82</v>
      </c>
      <c r="I27">
        <v>11</v>
      </c>
      <c r="J27">
        <v>52</v>
      </c>
      <c r="K27">
        <v>3</v>
      </c>
      <c r="L27" t="s">
        <v>43</v>
      </c>
      <c r="M27">
        <v>2.2310736812817278</v>
      </c>
      <c r="N27" t="s">
        <v>52</v>
      </c>
      <c r="O27" t="s">
        <v>45</v>
      </c>
      <c r="P27">
        <v>19</v>
      </c>
      <c r="Q27">
        <v>934</v>
      </c>
      <c r="R27">
        <v>23</v>
      </c>
      <c r="S27">
        <v>78.2804</v>
      </c>
      <c r="T27" t="s">
        <v>30</v>
      </c>
      <c r="U27">
        <v>3.7972312171141831</v>
      </c>
      <c r="V27" t="s">
        <v>31</v>
      </c>
      <c r="W27" t="s">
        <v>32</v>
      </c>
      <c r="X27">
        <v>458.53590000000003</v>
      </c>
    </row>
    <row r="28" spans="1:24" x14ac:dyDescent="0.25">
      <c r="A28" t="s">
        <v>24</v>
      </c>
      <c r="B28" t="s">
        <v>80</v>
      </c>
      <c r="C28">
        <v>97.446899999999999</v>
      </c>
      <c r="D28">
        <v>9</v>
      </c>
      <c r="E28">
        <v>353</v>
      </c>
      <c r="F28">
        <v>3716.4933258940368</v>
      </c>
      <c r="G28" t="s">
        <v>55</v>
      </c>
      <c r="H28">
        <v>59</v>
      </c>
      <c r="I28">
        <v>16</v>
      </c>
      <c r="J28">
        <v>48</v>
      </c>
      <c r="K28">
        <v>4</v>
      </c>
      <c r="L28" t="s">
        <v>27</v>
      </c>
      <c r="M28">
        <v>6.5075486210785511</v>
      </c>
      <c r="N28" t="s">
        <v>61</v>
      </c>
      <c r="O28" t="s">
        <v>53</v>
      </c>
      <c r="P28">
        <v>26</v>
      </c>
      <c r="Q28">
        <v>171</v>
      </c>
      <c r="R28">
        <v>4</v>
      </c>
      <c r="S28">
        <v>15.972200000000001</v>
      </c>
      <c r="T28" t="s">
        <v>64</v>
      </c>
      <c r="U28">
        <v>2.1193197367249228</v>
      </c>
      <c r="V28" t="s">
        <v>47</v>
      </c>
      <c r="W28" t="s">
        <v>48</v>
      </c>
      <c r="X28">
        <v>617.86689999999999</v>
      </c>
    </row>
    <row r="29" spans="1:24" x14ac:dyDescent="0.25">
      <c r="A29" t="s">
        <v>57</v>
      </c>
      <c r="B29" t="s">
        <v>81</v>
      </c>
      <c r="C29">
        <v>92.557400000000001</v>
      </c>
      <c r="D29">
        <v>42</v>
      </c>
      <c r="E29">
        <v>352</v>
      </c>
      <c r="F29">
        <v>2686.4572235759833</v>
      </c>
      <c r="G29" t="s">
        <v>38</v>
      </c>
      <c r="H29">
        <v>47</v>
      </c>
      <c r="I29">
        <v>9</v>
      </c>
      <c r="J29">
        <v>62</v>
      </c>
      <c r="K29">
        <v>8</v>
      </c>
      <c r="L29" t="s">
        <v>43</v>
      </c>
      <c r="M29">
        <v>7.406750952998074</v>
      </c>
      <c r="N29" t="s">
        <v>44</v>
      </c>
      <c r="O29" t="s">
        <v>29</v>
      </c>
      <c r="P29">
        <v>25</v>
      </c>
      <c r="Q29">
        <v>291</v>
      </c>
      <c r="R29">
        <v>4</v>
      </c>
      <c r="S29">
        <v>10.5282</v>
      </c>
      <c r="T29" t="s">
        <v>46</v>
      </c>
      <c r="U29">
        <v>2.8646678378833732</v>
      </c>
      <c r="V29" t="s">
        <v>56</v>
      </c>
      <c r="W29" t="s">
        <v>32</v>
      </c>
      <c r="X29">
        <v>762.45920000000001</v>
      </c>
    </row>
    <row r="30" spans="1:24" x14ac:dyDescent="0.25">
      <c r="A30" t="s">
        <v>57</v>
      </c>
      <c r="B30" t="s">
        <v>82</v>
      </c>
      <c r="C30">
        <v>2.3973</v>
      </c>
      <c r="D30">
        <v>12</v>
      </c>
      <c r="E30">
        <v>394</v>
      </c>
      <c r="F30">
        <v>6117.3246150839923</v>
      </c>
      <c r="G30" t="s">
        <v>35</v>
      </c>
      <c r="H30">
        <v>48</v>
      </c>
      <c r="I30">
        <v>15</v>
      </c>
      <c r="J30">
        <v>24</v>
      </c>
      <c r="K30">
        <v>4</v>
      </c>
      <c r="L30" t="s">
        <v>27</v>
      </c>
      <c r="M30">
        <v>9.898140508069222</v>
      </c>
      <c r="N30" t="s">
        <v>39</v>
      </c>
      <c r="O30" t="s">
        <v>29</v>
      </c>
      <c r="P30">
        <v>13</v>
      </c>
      <c r="Q30">
        <v>171</v>
      </c>
      <c r="R30">
        <v>7</v>
      </c>
      <c r="S30">
        <v>59.429400000000001</v>
      </c>
      <c r="T30" t="s">
        <v>46</v>
      </c>
      <c r="U30">
        <v>0.81575707929567198</v>
      </c>
      <c r="V30" t="s">
        <v>40</v>
      </c>
      <c r="W30" t="s">
        <v>48</v>
      </c>
      <c r="X30">
        <v>123.437</v>
      </c>
    </row>
    <row r="31" spans="1:24" x14ac:dyDescent="0.25">
      <c r="A31" t="s">
        <v>57</v>
      </c>
      <c r="B31" t="s">
        <v>83</v>
      </c>
      <c r="C31">
        <v>63.447600000000001</v>
      </c>
      <c r="D31">
        <v>3</v>
      </c>
      <c r="E31">
        <v>253</v>
      </c>
      <c r="F31">
        <v>8318.9031946171781</v>
      </c>
      <c r="G31" t="s">
        <v>35</v>
      </c>
      <c r="H31">
        <v>45</v>
      </c>
      <c r="I31">
        <v>5</v>
      </c>
      <c r="J31">
        <v>67</v>
      </c>
      <c r="K31">
        <v>7</v>
      </c>
      <c r="L31" t="s">
        <v>27</v>
      </c>
      <c r="M31">
        <v>8.1009731453970311</v>
      </c>
      <c r="N31" t="s">
        <v>39</v>
      </c>
      <c r="O31" t="s">
        <v>45</v>
      </c>
      <c r="P31">
        <v>16</v>
      </c>
      <c r="Q31">
        <v>329</v>
      </c>
      <c r="R31">
        <v>7</v>
      </c>
      <c r="S31">
        <v>39.292900000000003</v>
      </c>
      <c r="T31" t="s">
        <v>64</v>
      </c>
      <c r="U31">
        <v>3.8780989365884881</v>
      </c>
      <c r="V31" t="s">
        <v>31</v>
      </c>
      <c r="W31" t="s">
        <v>32</v>
      </c>
      <c r="X31">
        <v>764.93539999999996</v>
      </c>
    </row>
    <row r="32" spans="1:24" x14ac:dyDescent="0.25">
      <c r="A32" t="s">
        <v>24</v>
      </c>
      <c r="B32" t="s">
        <v>84</v>
      </c>
      <c r="C32">
        <v>8.0228999999999999</v>
      </c>
      <c r="D32">
        <v>10</v>
      </c>
      <c r="E32">
        <v>327</v>
      </c>
      <c r="F32">
        <v>2766.3423668660889</v>
      </c>
      <c r="G32" t="s">
        <v>55</v>
      </c>
      <c r="H32">
        <v>60</v>
      </c>
      <c r="I32">
        <v>26</v>
      </c>
      <c r="J32">
        <v>35</v>
      </c>
      <c r="K32">
        <v>7</v>
      </c>
      <c r="L32" t="s">
        <v>27</v>
      </c>
      <c r="M32">
        <v>8.9545283153180151</v>
      </c>
      <c r="N32" t="s">
        <v>52</v>
      </c>
      <c r="O32" t="s">
        <v>45</v>
      </c>
      <c r="P32">
        <v>27</v>
      </c>
      <c r="Q32">
        <v>806</v>
      </c>
      <c r="R32">
        <v>30</v>
      </c>
      <c r="S32">
        <v>51.634900000000002</v>
      </c>
      <c r="T32" t="s">
        <v>30</v>
      </c>
      <c r="U32">
        <v>0.96539470535239313</v>
      </c>
      <c r="V32" t="s">
        <v>31</v>
      </c>
      <c r="W32" t="s">
        <v>41</v>
      </c>
      <c r="X32">
        <v>880.08100000000002</v>
      </c>
    </row>
    <row r="33" spans="1:24" x14ac:dyDescent="0.25">
      <c r="A33" t="s">
        <v>33</v>
      </c>
      <c r="B33" t="s">
        <v>85</v>
      </c>
      <c r="C33">
        <v>50.8474</v>
      </c>
      <c r="D33">
        <v>28</v>
      </c>
      <c r="E33">
        <v>168</v>
      </c>
      <c r="F33">
        <v>9655.1351027193978</v>
      </c>
      <c r="G33" t="s">
        <v>55</v>
      </c>
      <c r="H33">
        <v>6</v>
      </c>
      <c r="I33">
        <v>17</v>
      </c>
      <c r="J33">
        <v>44</v>
      </c>
      <c r="K33">
        <v>4</v>
      </c>
      <c r="L33" t="s">
        <v>27</v>
      </c>
      <c r="M33">
        <v>2.6796609649814065</v>
      </c>
      <c r="N33" t="s">
        <v>28</v>
      </c>
      <c r="O33" t="s">
        <v>62</v>
      </c>
      <c r="P33">
        <v>24</v>
      </c>
      <c r="Q33">
        <v>461</v>
      </c>
      <c r="R33">
        <v>8</v>
      </c>
      <c r="S33">
        <v>60.251100000000001</v>
      </c>
      <c r="T33" t="s">
        <v>30</v>
      </c>
      <c r="U33">
        <v>2.9890000066550746</v>
      </c>
      <c r="V33" t="s">
        <v>47</v>
      </c>
      <c r="W33" t="s">
        <v>41</v>
      </c>
      <c r="X33">
        <v>609.37919999999997</v>
      </c>
    </row>
    <row r="34" spans="1:24" x14ac:dyDescent="0.25">
      <c r="A34" t="s">
        <v>33</v>
      </c>
      <c r="B34" t="s">
        <v>86</v>
      </c>
      <c r="C34">
        <v>79.209900000000005</v>
      </c>
      <c r="D34">
        <v>43</v>
      </c>
      <c r="E34">
        <v>781</v>
      </c>
      <c r="F34">
        <v>9571.5504873278187</v>
      </c>
      <c r="G34" t="s">
        <v>38</v>
      </c>
      <c r="H34">
        <v>89</v>
      </c>
      <c r="I34">
        <v>13</v>
      </c>
      <c r="J34">
        <v>64</v>
      </c>
      <c r="K34">
        <v>4</v>
      </c>
      <c r="L34" t="s">
        <v>43</v>
      </c>
      <c r="M34">
        <v>6.5991049012385838</v>
      </c>
      <c r="N34" t="s">
        <v>28</v>
      </c>
      <c r="O34" t="s">
        <v>45</v>
      </c>
      <c r="P34">
        <v>30</v>
      </c>
      <c r="Q34">
        <v>737</v>
      </c>
      <c r="R34">
        <v>7</v>
      </c>
      <c r="S34">
        <v>29.692499999999999</v>
      </c>
      <c r="T34" t="s">
        <v>64</v>
      </c>
      <c r="U34">
        <v>1.9460361193861131</v>
      </c>
      <c r="V34" t="s">
        <v>31</v>
      </c>
      <c r="W34" t="s">
        <v>48</v>
      </c>
      <c r="X34">
        <v>761.1739</v>
      </c>
    </row>
    <row r="35" spans="1:24" x14ac:dyDescent="0.25">
      <c r="A35" t="s">
        <v>57</v>
      </c>
      <c r="B35" t="s">
        <v>87</v>
      </c>
      <c r="C35">
        <v>64.795400000000001</v>
      </c>
      <c r="D35">
        <v>63</v>
      </c>
      <c r="E35">
        <v>616</v>
      </c>
      <c r="F35">
        <v>5149.9983504080365</v>
      </c>
      <c r="G35" t="s">
        <v>26</v>
      </c>
      <c r="H35">
        <v>4</v>
      </c>
      <c r="I35">
        <v>17</v>
      </c>
      <c r="J35">
        <v>95</v>
      </c>
      <c r="K35">
        <v>9</v>
      </c>
      <c r="L35" t="s">
        <v>43</v>
      </c>
      <c r="M35">
        <v>4.85827050343664</v>
      </c>
      <c r="N35" t="s">
        <v>44</v>
      </c>
      <c r="O35" t="s">
        <v>62</v>
      </c>
      <c r="P35">
        <v>1</v>
      </c>
      <c r="Q35">
        <v>251</v>
      </c>
      <c r="R35">
        <v>23</v>
      </c>
      <c r="S35">
        <v>23.853400000000001</v>
      </c>
      <c r="T35" t="s">
        <v>46</v>
      </c>
      <c r="U35">
        <v>3.5410460122509231</v>
      </c>
      <c r="V35" t="s">
        <v>56</v>
      </c>
      <c r="W35" t="s">
        <v>48</v>
      </c>
      <c r="X35">
        <v>371.25529999999998</v>
      </c>
    </row>
    <row r="36" spans="1:24" x14ac:dyDescent="0.25">
      <c r="A36" t="s">
        <v>33</v>
      </c>
      <c r="B36" t="s">
        <v>88</v>
      </c>
      <c r="C36">
        <v>37.467599999999997</v>
      </c>
      <c r="D36">
        <v>96</v>
      </c>
      <c r="E36">
        <v>602</v>
      </c>
      <c r="F36">
        <v>9061.7108955077238</v>
      </c>
      <c r="G36" t="s">
        <v>38</v>
      </c>
      <c r="H36">
        <v>1</v>
      </c>
      <c r="I36">
        <v>26</v>
      </c>
      <c r="J36">
        <v>21</v>
      </c>
      <c r="K36">
        <v>7</v>
      </c>
      <c r="L36" t="s">
        <v>36</v>
      </c>
      <c r="M36">
        <v>1.0194875708221189</v>
      </c>
      <c r="N36" t="s">
        <v>39</v>
      </c>
      <c r="O36" t="s">
        <v>62</v>
      </c>
      <c r="P36">
        <v>4</v>
      </c>
      <c r="Q36">
        <v>452</v>
      </c>
      <c r="R36">
        <v>10</v>
      </c>
      <c r="S36">
        <v>10.754300000000001</v>
      </c>
      <c r="T36" t="s">
        <v>64</v>
      </c>
      <c r="U36">
        <v>0.64660455937205485</v>
      </c>
      <c r="V36" t="s">
        <v>31</v>
      </c>
      <c r="W36" t="s">
        <v>32</v>
      </c>
      <c r="X36">
        <v>510.358</v>
      </c>
    </row>
    <row r="37" spans="1:24" x14ac:dyDescent="0.25">
      <c r="A37" t="s">
        <v>57</v>
      </c>
      <c r="B37" t="s">
        <v>89</v>
      </c>
      <c r="C37">
        <v>84.957800000000006</v>
      </c>
      <c r="D37">
        <v>11</v>
      </c>
      <c r="E37">
        <v>449</v>
      </c>
      <c r="F37">
        <v>6541.3293448024651</v>
      </c>
      <c r="G37" t="s">
        <v>35</v>
      </c>
      <c r="H37">
        <v>42</v>
      </c>
      <c r="I37">
        <v>27</v>
      </c>
      <c r="J37">
        <v>85</v>
      </c>
      <c r="K37">
        <v>8</v>
      </c>
      <c r="L37" t="s">
        <v>43</v>
      </c>
      <c r="M37">
        <v>5.2881899903274094</v>
      </c>
      <c r="N37" t="s">
        <v>39</v>
      </c>
      <c r="O37" t="s">
        <v>50</v>
      </c>
      <c r="P37">
        <v>3</v>
      </c>
      <c r="Q37">
        <v>367</v>
      </c>
      <c r="R37">
        <v>2</v>
      </c>
      <c r="S37">
        <v>58.004800000000003</v>
      </c>
      <c r="T37" t="s">
        <v>64</v>
      </c>
      <c r="U37">
        <v>0.54115409806058112</v>
      </c>
      <c r="V37" t="s">
        <v>56</v>
      </c>
      <c r="W37" t="s">
        <v>41</v>
      </c>
      <c r="X37">
        <v>553.42049999999995</v>
      </c>
    </row>
    <row r="38" spans="1:24" x14ac:dyDescent="0.25">
      <c r="A38" t="s">
        <v>33</v>
      </c>
      <c r="B38" t="s">
        <v>90</v>
      </c>
      <c r="C38">
        <v>9.8130000000000006</v>
      </c>
      <c r="D38">
        <v>34</v>
      </c>
      <c r="E38">
        <v>963</v>
      </c>
      <c r="F38">
        <v>7573.4024578487333</v>
      </c>
      <c r="G38" t="s">
        <v>35</v>
      </c>
      <c r="H38">
        <v>18</v>
      </c>
      <c r="I38">
        <v>23</v>
      </c>
      <c r="J38">
        <v>28</v>
      </c>
      <c r="K38">
        <v>3</v>
      </c>
      <c r="L38" t="s">
        <v>27</v>
      </c>
      <c r="M38">
        <v>2.107951267159081</v>
      </c>
      <c r="N38" t="s">
        <v>61</v>
      </c>
      <c r="O38" t="s">
        <v>50</v>
      </c>
      <c r="P38">
        <v>26</v>
      </c>
      <c r="Q38">
        <v>671</v>
      </c>
      <c r="R38">
        <v>19</v>
      </c>
      <c r="S38">
        <v>45.531399999999998</v>
      </c>
      <c r="T38" t="s">
        <v>46</v>
      </c>
      <c r="U38">
        <v>3.8055333792433537</v>
      </c>
      <c r="V38" t="s">
        <v>40</v>
      </c>
      <c r="W38" t="s">
        <v>41</v>
      </c>
      <c r="X38">
        <v>403.80900000000003</v>
      </c>
    </row>
    <row r="39" spans="1:24" x14ac:dyDescent="0.25">
      <c r="A39" t="s">
        <v>33</v>
      </c>
      <c r="B39" t="s">
        <v>91</v>
      </c>
      <c r="C39">
        <v>23.399799999999999</v>
      </c>
      <c r="D39">
        <v>5</v>
      </c>
      <c r="E39">
        <v>963</v>
      </c>
      <c r="F39">
        <v>2438.3399304700288</v>
      </c>
      <c r="G39" t="s">
        <v>35</v>
      </c>
      <c r="H39">
        <v>25</v>
      </c>
      <c r="I39">
        <v>8</v>
      </c>
      <c r="J39">
        <v>21</v>
      </c>
      <c r="K39">
        <v>9</v>
      </c>
      <c r="L39" t="s">
        <v>36</v>
      </c>
      <c r="M39">
        <v>1.5326552735904306</v>
      </c>
      <c r="N39" t="s">
        <v>28</v>
      </c>
      <c r="O39" t="s">
        <v>45</v>
      </c>
      <c r="P39">
        <v>24</v>
      </c>
      <c r="Q39">
        <v>867</v>
      </c>
      <c r="R39">
        <v>15</v>
      </c>
      <c r="S39">
        <v>34.343299999999999</v>
      </c>
      <c r="T39" t="s">
        <v>30</v>
      </c>
      <c r="U39">
        <v>2.6102880848481131</v>
      </c>
      <c r="V39" t="s">
        <v>56</v>
      </c>
      <c r="W39" t="s">
        <v>48</v>
      </c>
      <c r="X39">
        <v>183.93299999999999</v>
      </c>
    </row>
    <row r="40" spans="1:24" x14ac:dyDescent="0.25">
      <c r="A40" t="s">
        <v>57</v>
      </c>
      <c r="B40" t="s">
        <v>92</v>
      </c>
      <c r="C40">
        <v>52.075899999999997</v>
      </c>
      <c r="D40">
        <v>75</v>
      </c>
      <c r="E40">
        <v>705</v>
      </c>
      <c r="F40">
        <v>9692.3180402184316</v>
      </c>
      <c r="G40" t="s">
        <v>26</v>
      </c>
      <c r="H40">
        <v>69</v>
      </c>
      <c r="I40">
        <v>1</v>
      </c>
      <c r="J40">
        <v>88</v>
      </c>
      <c r="K40">
        <v>5</v>
      </c>
      <c r="L40" t="s">
        <v>27</v>
      </c>
      <c r="M40">
        <v>9.2359314372492278</v>
      </c>
      <c r="N40" t="s">
        <v>44</v>
      </c>
      <c r="O40" t="s">
        <v>29</v>
      </c>
      <c r="P40">
        <v>10</v>
      </c>
      <c r="Q40">
        <v>841</v>
      </c>
      <c r="R40">
        <v>12</v>
      </c>
      <c r="S40">
        <v>5.9306999999999999</v>
      </c>
      <c r="T40" t="s">
        <v>30</v>
      </c>
      <c r="U40">
        <v>0.61332689916450744</v>
      </c>
      <c r="V40" t="s">
        <v>40</v>
      </c>
      <c r="W40" t="s">
        <v>32</v>
      </c>
      <c r="X40">
        <v>339.67290000000003</v>
      </c>
    </row>
    <row r="41" spans="1:24" x14ac:dyDescent="0.25">
      <c r="A41" t="s">
        <v>33</v>
      </c>
      <c r="B41" t="s">
        <v>93</v>
      </c>
      <c r="C41">
        <v>19.127500000000001</v>
      </c>
      <c r="D41">
        <v>26</v>
      </c>
      <c r="E41">
        <v>176</v>
      </c>
      <c r="F41">
        <v>1912.4656631007608</v>
      </c>
      <c r="G41" t="s">
        <v>35</v>
      </c>
      <c r="H41">
        <v>78</v>
      </c>
      <c r="I41">
        <v>29</v>
      </c>
      <c r="J41">
        <v>34</v>
      </c>
      <c r="K41">
        <v>3</v>
      </c>
      <c r="L41" t="s">
        <v>36</v>
      </c>
      <c r="M41">
        <v>5.5625037788303837</v>
      </c>
      <c r="N41" t="s">
        <v>61</v>
      </c>
      <c r="O41" t="s">
        <v>45</v>
      </c>
      <c r="P41">
        <v>30</v>
      </c>
      <c r="Q41">
        <v>791</v>
      </c>
      <c r="R41">
        <v>6</v>
      </c>
      <c r="S41">
        <v>9.0058000000000007</v>
      </c>
      <c r="T41" t="s">
        <v>46</v>
      </c>
      <c r="U41">
        <v>1.4519722039968159</v>
      </c>
      <c r="V41" t="s">
        <v>40</v>
      </c>
      <c r="W41" t="s">
        <v>32</v>
      </c>
      <c r="X41">
        <v>653.673</v>
      </c>
    </row>
    <row r="42" spans="1:24" x14ac:dyDescent="0.25">
      <c r="A42" t="s">
        <v>33</v>
      </c>
      <c r="B42" t="s">
        <v>94</v>
      </c>
      <c r="C42">
        <v>80.541399999999996</v>
      </c>
      <c r="D42">
        <v>97</v>
      </c>
      <c r="E42">
        <v>933</v>
      </c>
      <c r="F42">
        <v>5724.9593504562654</v>
      </c>
      <c r="G42" t="s">
        <v>35</v>
      </c>
      <c r="H42">
        <v>90</v>
      </c>
      <c r="I42">
        <v>20</v>
      </c>
      <c r="J42">
        <v>39</v>
      </c>
      <c r="K42">
        <v>8</v>
      </c>
      <c r="L42" t="s">
        <v>43</v>
      </c>
      <c r="M42">
        <v>7.2295951397364737</v>
      </c>
      <c r="N42" t="s">
        <v>39</v>
      </c>
      <c r="O42" t="s">
        <v>45</v>
      </c>
      <c r="P42">
        <v>18</v>
      </c>
      <c r="Q42">
        <v>793</v>
      </c>
      <c r="R42">
        <v>1</v>
      </c>
      <c r="S42">
        <v>88.179400000000001</v>
      </c>
      <c r="T42" t="s">
        <v>30</v>
      </c>
      <c r="U42">
        <v>4.2132694305865659</v>
      </c>
      <c r="V42" t="s">
        <v>31</v>
      </c>
      <c r="W42" t="s">
        <v>48</v>
      </c>
      <c r="X42">
        <v>529.80870000000004</v>
      </c>
    </row>
    <row r="43" spans="1:24" x14ac:dyDescent="0.25">
      <c r="A43" t="s">
        <v>33</v>
      </c>
      <c r="B43" t="s">
        <v>95</v>
      </c>
      <c r="C43">
        <v>99.113299999999995</v>
      </c>
      <c r="D43">
        <v>35</v>
      </c>
      <c r="E43">
        <v>556</v>
      </c>
      <c r="F43">
        <v>5521.2052590109715</v>
      </c>
      <c r="G43" t="s">
        <v>35</v>
      </c>
      <c r="H43">
        <v>64</v>
      </c>
      <c r="I43">
        <v>19</v>
      </c>
      <c r="J43">
        <v>38</v>
      </c>
      <c r="K43">
        <v>8</v>
      </c>
      <c r="L43" t="s">
        <v>27</v>
      </c>
      <c r="M43">
        <v>5.7732637437666536</v>
      </c>
      <c r="N43" t="s">
        <v>52</v>
      </c>
      <c r="O43" t="s">
        <v>62</v>
      </c>
      <c r="P43">
        <v>18</v>
      </c>
      <c r="Q43">
        <v>892</v>
      </c>
      <c r="R43">
        <v>7</v>
      </c>
      <c r="S43">
        <v>95.332099999999997</v>
      </c>
      <c r="T43" t="s">
        <v>46</v>
      </c>
      <c r="U43">
        <v>4.530226239825963E-2</v>
      </c>
      <c r="V43" t="s">
        <v>56</v>
      </c>
      <c r="W43" t="s">
        <v>48</v>
      </c>
      <c r="X43">
        <v>275.52440000000001</v>
      </c>
    </row>
    <row r="44" spans="1:24" x14ac:dyDescent="0.25">
      <c r="A44" t="s">
        <v>33</v>
      </c>
      <c r="B44" t="s">
        <v>96</v>
      </c>
      <c r="C44">
        <v>46.529200000000003</v>
      </c>
      <c r="D44">
        <v>98</v>
      </c>
      <c r="E44">
        <v>155</v>
      </c>
      <c r="F44">
        <v>1839.6094258567639</v>
      </c>
      <c r="G44" t="s">
        <v>35</v>
      </c>
      <c r="H44">
        <v>22</v>
      </c>
      <c r="I44">
        <v>27</v>
      </c>
      <c r="J44">
        <v>57</v>
      </c>
      <c r="K44">
        <v>4</v>
      </c>
      <c r="L44" t="s">
        <v>43</v>
      </c>
      <c r="M44">
        <v>7.5262483268515084</v>
      </c>
      <c r="N44" t="s">
        <v>44</v>
      </c>
      <c r="O44" t="s">
        <v>53</v>
      </c>
      <c r="P44">
        <v>26</v>
      </c>
      <c r="Q44">
        <v>179</v>
      </c>
      <c r="R44">
        <v>7</v>
      </c>
      <c r="S44">
        <v>96.422799999999995</v>
      </c>
      <c r="T44" t="s">
        <v>46</v>
      </c>
      <c r="U44">
        <v>4.9392552886209478</v>
      </c>
      <c r="V44" t="s">
        <v>31</v>
      </c>
      <c r="W44" t="s">
        <v>48</v>
      </c>
      <c r="X44">
        <v>635.65710000000001</v>
      </c>
    </row>
    <row r="45" spans="1:24" x14ac:dyDescent="0.25">
      <c r="A45" t="s">
        <v>24</v>
      </c>
      <c r="B45" t="s">
        <v>97</v>
      </c>
      <c r="C45">
        <v>11.7433</v>
      </c>
      <c r="D45">
        <v>6</v>
      </c>
      <c r="E45">
        <v>598</v>
      </c>
      <c r="F45">
        <v>5737.425599119023</v>
      </c>
      <c r="G45" t="s">
        <v>38</v>
      </c>
      <c r="H45">
        <v>36</v>
      </c>
      <c r="I45">
        <v>29</v>
      </c>
      <c r="J45">
        <v>85</v>
      </c>
      <c r="K45">
        <v>9</v>
      </c>
      <c r="L45" t="s">
        <v>27</v>
      </c>
      <c r="M45">
        <v>3.6940212683884543</v>
      </c>
      <c r="N45" t="s">
        <v>44</v>
      </c>
      <c r="O45" t="s">
        <v>29</v>
      </c>
      <c r="P45">
        <v>1</v>
      </c>
      <c r="Q45">
        <v>206</v>
      </c>
      <c r="R45">
        <v>23</v>
      </c>
      <c r="S45">
        <v>26.2774</v>
      </c>
      <c r="T45" t="s">
        <v>30</v>
      </c>
      <c r="U45">
        <v>0.37230476798509771</v>
      </c>
      <c r="V45" t="s">
        <v>40</v>
      </c>
      <c r="W45" t="s">
        <v>48</v>
      </c>
      <c r="X45">
        <v>716.04409999999996</v>
      </c>
    </row>
    <row r="46" spans="1:24" x14ac:dyDescent="0.25">
      <c r="A46" t="s">
        <v>57</v>
      </c>
      <c r="B46" t="s">
        <v>98</v>
      </c>
      <c r="C46">
        <v>51.355800000000002</v>
      </c>
      <c r="D46">
        <v>34</v>
      </c>
      <c r="E46">
        <v>919</v>
      </c>
      <c r="F46">
        <v>7152.2860494355145</v>
      </c>
      <c r="G46" t="s">
        <v>35</v>
      </c>
      <c r="H46">
        <v>13</v>
      </c>
      <c r="I46">
        <v>19</v>
      </c>
      <c r="J46">
        <v>72</v>
      </c>
      <c r="K46">
        <v>6</v>
      </c>
      <c r="L46" t="s">
        <v>43</v>
      </c>
      <c r="M46">
        <v>7.5774496573766932</v>
      </c>
      <c r="N46" t="s">
        <v>61</v>
      </c>
      <c r="O46" t="s">
        <v>50</v>
      </c>
      <c r="P46">
        <v>7</v>
      </c>
      <c r="Q46">
        <v>834</v>
      </c>
      <c r="R46">
        <v>18</v>
      </c>
      <c r="S46">
        <v>22.554099999999998</v>
      </c>
      <c r="T46" t="s">
        <v>46</v>
      </c>
      <c r="U46">
        <v>2.9626263204548819</v>
      </c>
      <c r="V46" t="s">
        <v>47</v>
      </c>
      <c r="W46" t="s">
        <v>48</v>
      </c>
      <c r="X46">
        <v>610.45330000000001</v>
      </c>
    </row>
    <row r="47" spans="1:24" x14ac:dyDescent="0.25">
      <c r="A47" t="s">
        <v>24</v>
      </c>
      <c r="B47" t="s">
        <v>99</v>
      </c>
      <c r="C47">
        <v>33.784100000000002</v>
      </c>
      <c r="D47">
        <v>1</v>
      </c>
      <c r="E47">
        <v>24</v>
      </c>
      <c r="F47">
        <v>5267.9568075105208</v>
      </c>
      <c r="G47" t="s">
        <v>55</v>
      </c>
      <c r="H47">
        <v>93</v>
      </c>
      <c r="I47">
        <v>7</v>
      </c>
      <c r="J47">
        <v>52</v>
      </c>
      <c r="K47">
        <v>6</v>
      </c>
      <c r="L47" t="s">
        <v>27</v>
      </c>
      <c r="M47">
        <v>5.2151550087119096</v>
      </c>
      <c r="N47" t="s">
        <v>61</v>
      </c>
      <c r="O47" t="s">
        <v>62</v>
      </c>
      <c r="P47">
        <v>25</v>
      </c>
      <c r="Q47">
        <v>794</v>
      </c>
      <c r="R47">
        <v>25</v>
      </c>
      <c r="S47">
        <v>66.3125</v>
      </c>
      <c r="T47" t="s">
        <v>64</v>
      </c>
      <c r="U47">
        <v>3.219604612084106</v>
      </c>
      <c r="V47" t="s">
        <v>47</v>
      </c>
      <c r="W47" t="s">
        <v>48</v>
      </c>
      <c r="X47">
        <v>495.3057</v>
      </c>
    </row>
    <row r="48" spans="1:24" x14ac:dyDescent="0.25">
      <c r="A48" t="s">
        <v>24</v>
      </c>
      <c r="B48" t="s">
        <v>100</v>
      </c>
      <c r="C48">
        <v>27.0822</v>
      </c>
      <c r="D48">
        <v>75</v>
      </c>
      <c r="E48">
        <v>859</v>
      </c>
      <c r="F48">
        <v>2556.7673606335957</v>
      </c>
      <c r="G48" t="s">
        <v>26</v>
      </c>
      <c r="H48">
        <v>92</v>
      </c>
      <c r="I48">
        <v>29</v>
      </c>
      <c r="J48">
        <v>6</v>
      </c>
      <c r="K48">
        <v>8</v>
      </c>
      <c r="L48" t="s">
        <v>27</v>
      </c>
      <c r="M48">
        <v>4.0709558370840826</v>
      </c>
      <c r="N48" t="s">
        <v>28</v>
      </c>
      <c r="O48" t="s">
        <v>62</v>
      </c>
      <c r="P48">
        <v>18</v>
      </c>
      <c r="Q48">
        <v>870</v>
      </c>
      <c r="R48">
        <v>23</v>
      </c>
      <c r="S48">
        <v>77.322400000000002</v>
      </c>
      <c r="T48" t="s">
        <v>30</v>
      </c>
      <c r="U48">
        <v>3.6486105925362033</v>
      </c>
      <c r="V48" t="s">
        <v>31</v>
      </c>
      <c r="W48" t="s">
        <v>32</v>
      </c>
      <c r="X48">
        <v>380.4359</v>
      </c>
    </row>
    <row r="49" spans="1:24" x14ac:dyDescent="0.25">
      <c r="A49" t="s">
        <v>33</v>
      </c>
      <c r="B49" t="s">
        <v>101</v>
      </c>
      <c r="C49">
        <v>95.712100000000007</v>
      </c>
      <c r="D49">
        <v>93</v>
      </c>
      <c r="E49">
        <v>910</v>
      </c>
      <c r="F49">
        <v>7089.4742499341864</v>
      </c>
      <c r="G49" t="s">
        <v>55</v>
      </c>
      <c r="H49">
        <v>4</v>
      </c>
      <c r="I49">
        <v>15</v>
      </c>
      <c r="J49">
        <v>51</v>
      </c>
      <c r="K49">
        <v>9</v>
      </c>
      <c r="L49" t="s">
        <v>27</v>
      </c>
      <c r="M49">
        <v>8.9787507559499709</v>
      </c>
      <c r="N49" t="s">
        <v>39</v>
      </c>
      <c r="O49" t="s">
        <v>45</v>
      </c>
      <c r="P49">
        <v>10</v>
      </c>
      <c r="Q49">
        <v>964</v>
      </c>
      <c r="R49">
        <v>20</v>
      </c>
      <c r="S49">
        <v>19.713000000000001</v>
      </c>
      <c r="T49" t="s">
        <v>30</v>
      </c>
      <c r="U49">
        <v>0.38057358671321373</v>
      </c>
      <c r="V49" t="s">
        <v>47</v>
      </c>
      <c r="W49" t="s">
        <v>48</v>
      </c>
      <c r="X49">
        <v>581.60239999999999</v>
      </c>
    </row>
    <row r="50" spans="1:24" x14ac:dyDescent="0.25">
      <c r="A50" t="s">
        <v>24</v>
      </c>
      <c r="B50" t="s">
        <v>102</v>
      </c>
      <c r="C50">
        <v>76.035499999999999</v>
      </c>
      <c r="D50">
        <v>28</v>
      </c>
      <c r="E50">
        <v>29</v>
      </c>
      <c r="F50">
        <v>7397.0710045871801</v>
      </c>
      <c r="G50" t="s">
        <v>26</v>
      </c>
      <c r="H50">
        <v>30</v>
      </c>
      <c r="I50">
        <v>16</v>
      </c>
      <c r="J50">
        <v>9</v>
      </c>
      <c r="K50">
        <v>3</v>
      </c>
      <c r="L50" t="s">
        <v>43</v>
      </c>
      <c r="M50">
        <v>7.0958331565551385</v>
      </c>
      <c r="N50" t="s">
        <v>61</v>
      </c>
      <c r="O50" t="s">
        <v>29</v>
      </c>
      <c r="P50">
        <v>9</v>
      </c>
      <c r="Q50">
        <v>109</v>
      </c>
      <c r="R50">
        <v>18</v>
      </c>
      <c r="S50">
        <v>23.1264</v>
      </c>
      <c r="T50" t="s">
        <v>46</v>
      </c>
      <c r="U50">
        <v>1.6981125407144038</v>
      </c>
      <c r="V50" t="s">
        <v>47</v>
      </c>
      <c r="W50" t="s">
        <v>32</v>
      </c>
      <c r="X50">
        <v>768.65189999999996</v>
      </c>
    </row>
    <row r="51" spans="1:24" x14ac:dyDescent="0.25">
      <c r="A51" t="s">
        <v>57</v>
      </c>
      <c r="B51" t="s">
        <v>103</v>
      </c>
      <c r="C51">
        <v>78.897900000000007</v>
      </c>
      <c r="D51">
        <v>19</v>
      </c>
      <c r="E51">
        <v>99</v>
      </c>
      <c r="F51">
        <v>8001.6132065190022</v>
      </c>
      <c r="G51" t="s">
        <v>38</v>
      </c>
      <c r="H51">
        <v>97</v>
      </c>
      <c r="I51">
        <v>24</v>
      </c>
      <c r="J51">
        <v>9</v>
      </c>
      <c r="K51">
        <v>6</v>
      </c>
      <c r="L51" t="s">
        <v>43</v>
      </c>
      <c r="M51">
        <v>2.5056210329009154</v>
      </c>
      <c r="N51" t="s">
        <v>44</v>
      </c>
      <c r="O51" t="s">
        <v>50</v>
      </c>
      <c r="P51">
        <v>28</v>
      </c>
      <c r="Q51">
        <v>177</v>
      </c>
      <c r="R51">
        <v>28</v>
      </c>
      <c r="S51">
        <v>14.1478</v>
      </c>
      <c r="T51" t="s">
        <v>64</v>
      </c>
      <c r="U51">
        <v>2.8258139854001318</v>
      </c>
      <c r="V51" t="s">
        <v>47</v>
      </c>
      <c r="W51" t="s">
        <v>48</v>
      </c>
      <c r="X51">
        <v>336.89019999999999</v>
      </c>
    </row>
    <row r="52" spans="1:24" x14ac:dyDescent="0.25">
      <c r="A52" t="s">
        <v>57</v>
      </c>
      <c r="B52" t="s">
        <v>104</v>
      </c>
      <c r="C52">
        <v>14.2035</v>
      </c>
      <c r="D52">
        <v>91</v>
      </c>
      <c r="E52">
        <v>633</v>
      </c>
      <c r="F52">
        <v>5910.8853896688988</v>
      </c>
      <c r="G52" t="s">
        <v>35</v>
      </c>
      <c r="H52">
        <v>31</v>
      </c>
      <c r="I52">
        <v>23</v>
      </c>
      <c r="J52">
        <v>82</v>
      </c>
      <c r="K52">
        <v>10</v>
      </c>
      <c r="L52" t="s">
        <v>36</v>
      </c>
      <c r="M52">
        <v>6.2478609149759912</v>
      </c>
      <c r="N52" t="s">
        <v>61</v>
      </c>
      <c r="O52" t="s">
        <v>50</v>
      </c>
      <c r="P52">
        <v>20</v>
      </c>
      <c r="Q52">
        <v>306</v>
      </c>
      <c r="R52">
        <v>21</v>
      </c>
      <c r="S52">
        <v>45.178800000000003</v>
      </c>
      <c r="T52" t="s">
        <v>46</v>
      </c>
      <c r="U52">
        <v>4.7548008046711852</v>
      </c>
      <c r="V52" t="s">
        <v>47</v>
      </c>
      <c r="W52" t="s">
        <v>32</v>
      </c>
      <c r="X52">
        <v>496.24869999999999</v>
      </c>
    </row>
    <row r="53" spans="1:24" x14ac:dyDescent="0.25">
      <c r="A53" t="s">
        <v>24</v>
      </c>
      <c r="B53" t="s">
        <v>105</v>
      </c>
      <c r="C53">
        <v>26.700800000000001</v>
      </c>
      <c r="D53">
        <v>61</v>
      </c>
      <c r="E53">
        <v>154</v>
      </c>
      <c r="F53">
        <v>9866.465457979697</v>
      </c>
      <c r="G53" t="s">
        <v>55</v>
      </c>
      <c r="H53">
        <v>100</v>
      </c>
      <c r="I53">
        <v>4</v>
      </c>
      <c r="J53">
        <v>52</v>
      </c>
      <c r="K53">
        <v>1</v>
      </c>
      <c r="L53" t="s">
        <v>36</v>
      </c>
      <c r="M53">
        <v>4.7830005579476653</v>
      </c>
      <c r="N53" t="s">
        <v>44</v>
      </c>
      <c r="O53" t="s">
        <v>53</v>
      </c>
      <c r="P53">
        <v>18</v>
      </c>
      <c r="Q53">
        <v>673</v>
      </c>
      <c r="R53">
        <v>28</v>
      </c>
      <c r="S53">
        <v>14.190300000000001</v>
      </c>
      <c r="T53" t="s">
        <v>30</v>
      </c>
      <c r="U53">
        <v>1.7729511720835571</v>
      </c>
      <c r="V53" t="s">
        <v>31</v>
      </c>
      <c r="W53" t="s">
        <v>48</v>
      </c>
      <c r="X53">
        <v>694.98230000000001</v>
      </c>
    </row>
    <row r="54" spans="1:24" x14ac:dyDescent="0.25">
      <c r="A54" t="s">
        <v>33</v>
      </c>
      <c r="B54" t="s">
        <v>106</v>
      </c>
      <c r="C54">
        <v>98.031800000000004</v>
      </c>
      <c r="D54">
        <v>1</v>
      </c>
      <c r="E54">
        <v>820</v>
      </c>
      <c r="F54">
        <v>9435.7626089121295</v>
      </c>
      <c r="G54" t="s">
        <v>55</v>
      </c>
      <c r="H54">
        <v>64</v>
      </c>
      <c r="I54">
        <v>11</v>
      </c>
      <c r="J54">
        <v>11</v>
      </c>
      <c r="K54">
        <v>1</v>
      </c>
      <c r="L54" t="s">
        <v>27</v>
      </c>
      <c r="M54">
        <v>8.6310521797689468</v>
      </c>
      <c r="N54" t="s">
        <v>39</v>
      </c>
      <c r="O54" t="s">
        <v>29</v>
      </c>
      <c r="P54">
        <v>10</v>
      </c>
      <c r="Q54">
        <v>727</v>
      </c>
      <c r="R54">
        <v>27</v>
      </c>
      <c r="S54">
        <v>9.1668000000000003</v>
      </c>
      <c r="T54" t="s">
        <v>30</v>
      </c>
      <c r="U54">
        <v>2.1224716191438247</v>
      </c>
      <c r="V54" t="s">
        <v>40</v>
      </c>
      <c r="W54" t="s">
        <v>41</v>
      </c>
      <c r="X54">
        <v>602.89850000000001</v>
      </c>
    </row>
    <row r="55" spans="1:24" x14ac:dyDescent="0.25">
      <c r="A55" t="s">
        <v>33</v>
      </c>
      <c r="B55" t="s">
        <v>107</v>
      </c>
      <c r="C55">
        <v>30.3415</v>
      </c>
      <c r="D55">
        <v>93</v>
      </c>
      <c r="E55">
        <v>242</v>
      </c>
      <c r="F55">
        <v>8232.3348294258212</v>
      </c>
      <c r="G55" t="s">
        <v>55</v>
      </c>
      <c r="H55">
        <v>96</v>
      </c>
      <c r="I55">
        <v>25</v>
      </c>
      <c r="J55">
        <v>54</v>
      </c>
      <c r="K55">
        <v>3</v>
      </c>
      <c r="L55" t="s">
        <v>27</v>
      </c>
      <c r="M55">
        <v>1.0134865660958963</v>
      </c>
      <c r="N55" t="s">
        <v>39</v>
      </c>
      <c r="O55" t="s">
        <v>50</v>
      </c>
      <c r="P55">
        <v>1</v>
      </c>
      <c r="Q55">
        <v>631</v>
      </c>
      <c r="R55">
        <v>17</v>
      </c>
      <c r="S55">
        <v>83.344099999999997</v>
      </c>
      <c r="T55" t="s">
        <v>30</v>
      </c>
      <c r="U55">
        <v>1.4103475760760271</v>
      </c>
      <c r="V55" t="s">
        <v>40</v>
      </c>
      <c r="W55" t="s">
        <v>32</v>
      </c>
      <c r="X55">
        <v>750.73779999999999</v>
      </c>
    </row>
    <row r="56" spans="1:24" x14ac:dyDescent="0.25">
      <c r="A56" t="s">
        <v>24</v>
      </c>
      <c r="B56" t="s">
        <v>108</v>
      </c>
      <c r="C56">
        <v>31.1462</v>
      </c>
      <c r="D56">
        <v>11</v>
      </c>
      <c r="E56">
        <v>622</v>
      </c>
      <c r="F56">
        <v>6088.0214799408586</v>
      </c>
      <c r="G56" t="s">
        <v>26</v>
      </c>
      <c r="H56">
        <v>33</v>
      </c>
      <c r="I56">
        <v>22</v>
      </c>
      <c r="J56">
        <v>61</v>
      </c>
      <c r="K56">
        <v>3</v>
      </c>
      <c r="L56" t="s">
        <v>27</v>
      </c>
      <c r="M56">
        <v>4.3051034712876355</v>
      </c>
      <c r="N56" t="s">
        <v>39</v>
      </c>
      <c r="O56" t="s">
        <v>45</v>
      </c>
      <c r="P56">
        <v>26</v>
      </c>
      <c r="Q56">
        <v>497</v>
      </c>
      <c r="R56">
        <v>29</v>
      </c>
      <c r="S56">
        <v>30.186</v>
      </c>
      <c r="T56" t="s">
        <v>64</v>
      </c>
      <c r="U56">
        <v>2.4787719755397477</v>
      </c>
      <c r="V56" t="s">
        <v>31</v>
      </c>
      <c r="W56" t="s">
        <v>32</v>
      </c>
      <c r="X56">
        <v>814.07</v>
      </c>
    </row>
    <row r="57" spans="1:24" x14ac:dyDescent="0.25">
      <c r="A57" t="s">
        <v>24</v>
      </c>
      <c r="B57" t="s">
        <v>109</v>
      </c>
      <c r="C57">
        <v>79.855099999999993</v>
      </c>
      <c r="D57">
        <v>16</v>
      </c>
      <c r="E57">
        <v>701</v>
      </c>
      <c r="F57">
        <v>2925.6751703038126</v>
      </c>
      <c r="G57" t="s">
        <v>55</v>
      </c>
      <c r="H57">
        <v>97</v>
      </c>
      <c r="I57">
        <v>11</v>
      </c>
      <c r="J57">
        <v>11</v>
      </c>
      <c r="K57">
        <v>5</v>
      </c>
      <c r="L57" t="s">
        <v>36</v>
      </c>
      <c r="M57">
        <v>5.0143649550309073</v>
      </c>
      <c r="N57" t="s">
        <v>61</v>
      </c>
      <c r="O57" t="s">
        <v>50</v>
      </c>
      <c r="P57">
        <v>27</v>
      </c>
      <c r="Q57">
        <v>918</v>
      </c>
      <c r="R57">
        <v>5</v>
      </c>
      <c r="S57">
        <v>30.323499999999999</v>
      </c>
      <c r="T57" t="s">
        <v>46</v>
      </c>
      <c r="U57">
        <v>4.5489196593963852</v>
      </c>
      <c r="V57" t="s">
        <v>56</v>
      </c>
      <c r="W57" t="s">
        <v>32</v>
      </c>
      <c r="X57">
        <v>323.0129</v>
      </c>
    </row>
    <row r="58" spans="1:24" x14ac:dyDescent="0.25">
      <c r="A58" t="s">
        <v>33</v>
      </c>
      <c r="B58" t="s">
        <v>110</v>
      </c>
      <c r="C58">
        <v>20.9864</v>
      </c>
      <c r="D58">
        <v>90</v>
      </c>
      <c r="E58">
        <v>93</v>
      </c>
      <c r="F58">
        <v>4767.020484344137</v>
      </c>
      <c r="G58" t="s">
        <v>26</v>
      </c>
      <c r="H58">
        <v>25</v>
      </c>
      <c r="I58">
        <v>23</v>
      </c>
      <c r="J58">
        <v>83</v>
      </c>
      <c r="K58">
        <v>5</v>
      </c>
      <c r="L58" t="s">
        <v>43</v>
      </c>
      <c r="M58">
        <v>1.7744297140717396</v>
      </c>
      <c r="N58" t="s">
        <v>39</v>
      </c>
      <c r="O58" t="s">
        <v>29</v>
      </c>
      <c r="P58">
        <v>24</v>
      </c>
      <c r="Q58">
        <v>826</v>
      </c>
      <c r="R58">
        <v>28</v>
      </c>
      <c r="S58">
        <v>12.8363</v>
      </c>
      <c r="T58" t="s">
        <v>64</v>
      </c>
      <c r="U58">
        <v>1.1737554953874541</v>
      </c>
      <c r="V58" t="s">
        <v>40</v>
      </c>
      <c r="W58" t="s">
        <v>32</v>
      </c>
      <c r="X58">
        <v>832.21079999999995</v>
      </c>
    </row>
    <row r="59" spans="1:24" x14ac:dyDescent="0.25">
      <c r="A59" t="s">
        <v>24</v>
      </c>
      <c r="B59" t="s">
        <v>111</v>
      </c>
      <c r="C59">
        <v>49.263199999999998</v>
      </c>
      <c r="D59">
        <v>65</v>
      </c>
      <c r="E59">
        <v>227</v>
      </c>
      <c r="F59">
        <v>1605.8669003924058</v>
      </c>
      <c r="G59" t="s">
        <v>38</v>
      </c>
      <c r="H59">
        <v>5</v>
      </c>
      <c r="I59">
        <v>18</v>
      </c>
      <c r="J59">
        <v>51</v>
      </c>
      <c r="K59">
        <v>1</v>
      </c>
      <c r="L59" t="s">
        <v>27</v>
      </c>
      <c r="M59">
        <v>9.1605585353818704</v>
      </c>
      <c r="N59" t="s">
        <v>61</v>
      </c>
      <c r="O59" t="s">
        <v>50</v>
      </c>
      <c r="P59">
        <v>21</v>
      </c>
      <c r="Q59">
        <v>588</v>
      </c>
      <c r="R59">
        <v>25</v>
      </c>
      <c r="S59">
        <v>67.779600000000002</v>
      </c>
      <c r="T59" t="s">
        <v>30</v>
      </c>
      <c r="U59">
        <v>2.511174830212707</v>
      </c>
      <c r="V59" t="s">
        <v>47</v>
      </c>
      <c r="W59" t="s">
        <v>48</v>
      </c>
      <c r="X59">
        <v>482.19119999999998</v>
      </c>
    </row>
    <row r="60" spans="1:24" x14ac:dyDescent="0.25">
      <c r="A60" t="s">
        <v>33</v>
      </c>
      <c r="B60" t="s">
        <v>112</v>
      </c>
      <c r="C60">
        <v>59.8416</v>
      </c>
      <c r="D60">
        <v>81</v>
      </c>
      <c r="E60">
        <v>896</v>
      </c>
      <c r="F60">
        <v>2021.1498103371077</v>
      </c>
      <c r="G60" t="s">
        <v>26</v>
      </c>
      <c r="H60">
        <v>10</v>
      </c>
      <c r="I60">
        <v>5</v>
      </c>
      <c r="J60">
        <v>44</v>
      </c>
      <c r="K60">
        <v>7</v>
      </c>
      <c r="L60" t="s">
        <v>36</v>
      </c>
      <c r="M60">
        <v>4.9384385647120901</v>
      </c>
      <c r="N60" t="s">
        <v>28</v>
      </c>
      <c r="O60" t="s">
        <v>50</v>
      </c>
      <c r="P60">
        <v>18</v>
      </c>
      <c r="Q60">
        <v>396</v>
      </c>
      <c r="R60">
        <v>7</v>
      </c>
      <c r="S60">
        <v>65.047399999999996</v>
      </c>
      <c r="T60" t="s">
        <v>46</v>
      </c>
      <c r="U60">
        <v>1.7303747198591968</v>
      </c>
      <c r="V60" t="s">
        <v>31</v>
      </c>
      <c r="W60" t="s">
        <v>32</v>
      </c>
      <c r="X60">
        <v>110.3643</v>
      </c>
    </row>
    <row r="61" spans="1:24" x14ac:dyDescent="0.25">
      <c r="A61" t="s">
        <v>57</v>
      </c>
      <c r="B61" t="s">
        <v>113</v>
      </c>
      <c r="C61">
        <v>63.828400000000002</v>
      </c>
      <c r="D61">
        <v>30</v>
      </c>
      <c r="E61">
        <v>484</v>
      </c>
      <c r="F61">
        <v>1061.618523013288</v>
      </c>
      <c r="G61" t="s">
        <v>26</v>
      </c>
      <c r="H61">
        <v>100</v>
      </c>
      <c r="I61">
        <v>16</v>
      </c>
      <c r="J61">
        <v>26</v>
      </c>
      <c r="K61">
        <v>7</v>
      </c>
      <c r="L61" t="s">
        <v>27</v>
      </c>
      <c r="M61">
        <v>7.2937225968677284</v>
      </c>
      <c r="N61" t="s">
        <v>39</v>
      </c>
      <c r="O61" t="s">
        <v>45</v>
      </c>
      <c r="P61">
        <v>11</v>
      </c>
      <c r="Q61">
        <v>176</v>
      </c>
      <c r="R61">
        <v>4</v>
      </c>
      <c r="S61">
        <v>1.9008</v>
      </c>
      <c r="T61" t="s">
        <v>46</v>
      </c>
      <c r="U61">
        <v>0.4471940154638232</v>
      </c>
      <c r="V61" t="s">
        <v>40</v>
      </c>
      <c r="W61" t="s">
        <v>48</v>
      </c>
      <c r="X61">
        <v>312.57429999999999</v>
      </c>
    </row>
    <row r="62" spans="1:24" x14ac:dyDescent="0.25">
      <c r="A62" t="s">
        <v>33</v>
      </c>
      <c r="B62" t="s">
        <v>114</v>
      </c>
      <c r="C62">
        <v>17.027999999999999</v>
      </c>
      <c r="D62">
        <v>16</v>
      </c>
      <c r="E62">
        <v>380</v>
      </c>
      <c r="F62">
        <v>8864.0843495864356</v>
      </c>
      <c r="G62" t="s">
        <v>35</v>
      </c>
      <c r="H62">
        <v>41</v>
      </c>
      <c r="I62">
        <v>27</v>
      </c>
      <c r="J62">
        <v>72</v>
      </c>
      <c r="K62">
        <v>8</v>
      </c>
      <c r="L62" t="s">
        <v>43</v>
      </c>
      <c r="M62">
        <v>4.3813681581023145</v>
      </c>
      <c r="N62" t="s">
        <v>52</v>
      </c>
      <c r="O62" t="s">
        <v>29</v>
      </c>
      <c r="P62">
        <v>29</v>
      </c>
      <c r="Q62">
        <v>929</v>
      </c>
      <c r="R62">
        <v>24</v>
      </c>
      <c r="S62">
        <v>87.213099999999997</v>
      </c>
      <c r="T62" t="s">
        <v>46</v>
      </c>
      <c r="U62">
        <v>2.8530906166490539</v>
      </c>
      <c r="V62" t="s">
        <v>47</v>
      </c>
      <c r="W62" t="s">
        <v>48</v>
      </c>
      <c r="X62">
        <v>430.16910000000001</v>
      </c>
    </row>
    <row r="63" spans="1:24" x14ac:dyDescent="0.25">
      <c r="A63" t="s">
        <v>24</v>
      </c>
      <c r="B63" t="s">
        <v>115</v>
      </c>
      <c r="C63">
        <v>52.028700000000001</v>
      </c>
      <c r="D63">
        <v>23</v>
      </c>
      <c r="E63">
        <v>117</v>
      </c>
      <c r="F63">
        <v>6885.5893508962527</v>
      </c>
      <c r="G63" t="s">
        <v>38</v>
      </c>
      <c r="H63">
        <v>32</v>
      </c>
      <c r="I63">
        <v>23</v>
      </c>
      <c r="J63">
        <v>36</v>
      </c>
      <c r="K63">
        <v>7</v>
      </c>
      <c r="L63" t="s">
        <v>43</v>
      </c>
      <c r="M63">
        <v>9.0303404225219488</v>
      </c>
      <c r="N63" t="s">
        <v>52</v>
      </c>
      <c r="O63" t="s">
        <v>45</v>
      </c>
      <c r="P63">
        <v>14</v>
      </c>
      <c r="Q63">
        <v>480</v>
      </c>
      <c r="R63">
        <v>12</v>
      </c>
      <c r="S63">
        <v>78.702399999999997</v>
      </c>
      <c r="T63" t="s">
        <v>46</v>
      </c>
      <c r="U63">
        <v>4.3674705382050529</v>
      </c>
      <c r="V63" t="s">
        <v>40</v>
      </c>
      <c r="W63" t="s">
        <v>48</v>
      </c>
      <c r="X63">
        <v>164.3665</v>
      </c>
    </row>
    <row r="64" spans="1:24" x14ac:dyDescent="0.25">
      <c r="A64" t="s">
        <v>57</v>
      </c>
      <c r="B64" t="s">
        <v>116</v>
      </c>
      <c r="C64">
        <v>72.796400000000006</v>
      </c>
      <c r="D64">
        <v>89</v>
      </c>
      <c r="E64">
        <v>270</v>
      </c>
      <c r="F64">
        <v>3899.7468337292244</v>
      </c>
      <c r="G64" t="s">
        <v>38</v>
      </c>
      <c r="H64">
        <v>86</v>
      </c>
      <c r="I64">
        <v>2</v>
      </c>
      <c r="J64">
        <v>40</v>
      </c>
      <c r="K64">
        <v>7</v>
      </c>
      <c r="L64" t="s">
        <v>43</v>
      </c>
      <c r="M64">
        <v>7.2917013887767759</v>
      </c>
      <c r="N64" t="s">
        <v>61</v>
      </c>
      <c r="O64" t="s">
        <v>29</v>
      </c>
      <c r="P64">
        <v>13</v>
      </c>
      <c r="Q64">
        <v>751</v>
      </c>
      <c r="R64">
        <v>14</v>
      </c>
      <c r="S64">
        <v>21.0486</v>
      </c>
      <c r="T64" t="s">
        <v>64</v>
      </c>
      <c r="U64">
        <v>1.8740014040443747</v>
      </c>
      <c r="V64" t="s">
        <v>56</v>
      </c>
      <c r="W64" t="s">
        <v>41</v>
      </c>
      <c r="X64">
        <v>320.84649999999999</v>
      </c>
    </row>
    <row r="65" spans="1:24" x14ac:dyDescent="0.25">
      <c r="A65" t="s">
        <v>33</v>
      </c>
      <c r="B65" t="s">
        <v>117</v>
      </c>
      <c r="C65">
        <v>13.0174</v>
      </c>
      <c r="D65">
        <v>55</v>
      </c>
      <c r="E65">
        <v>246</v>
      </c>
      <c r="F65">
        <v>4256.9491408502254</v>
      </c>
      <c r="G65" t="s">
        <v>26</v>
      </c>
      <c r="H65">
        <v>54</v>
      </c>
      <c r="I65">
        <v>19</v>
      </c>
      <c r="J65">
        <v>10</v>
      </c>
      <c r="K65">
        <v>4</v>
      </c>
      <c r="L65" t="s">
        <v>36</v>
      </c>
      <c r="M65">
        <v>2.45793352798733</v>
      </c>
      <c r="N65" t="s">
        <v>28</v>
      </c>
      <c r="O65" t="s">
        <v>53</v>
      </c>
      <c r="P65">
        <v>18</v>
      </c>
      <c r="Q65">
        <v>736</v>
      </c>
      <c r="R65">
        <v>10</v>
      </c>
      <c r="S65">
        <v>20.074999999999999</v>
      </c>
      <c r="T65" t="s">
        <v>30</v>
      </c>
      <c r="U65">
        <v>3.6328432903821337</v>
      </c>
      <c r="V65" t="s">
        <v>56</v>
      </c>
      <c r="W65" t="s">
        <v>48</v>
      </c>
      <c r="X65">
        <v>687.28620000000001</v>
      </c>
    </row>
    <row r="66" spans="1:24" x14ac:dyDescent="0.25">
      <c r="A66" t="s">
        <v>33</v>
      </c>
      <c r="B66" t="s">
        <v>118</v>
      </c>
      <c r="C66">
        <v>89.634100000000004</v>
      </c>
      <c r="D66">
        <v>11</v>
      </c>
      <c r="E66">
        <v>134</v>
      </c>
      <c r="F66">
        <v>8458.7308783671779</v>
      </c>
      <c r="G66" t="s">
        <v>35</v>
      </c>
      <c r="H66">
        <v>73</v>
      </c>
      <c r="I66">
        <v>27</v>
      </c>
      <c r="J66">
        <v>75</v>
      </c>
      <c r="K66">
        <v>6</v>
      </c>
      <c r="L66" t="s">
        <v>43</v>
      </c>
      <c r="M66">
        <v>4.5853534681946524</v>
      </c>
      <c r="N66" t="s">
        <v>39</v>
      </c>
      <c r="O66" t="s">
        <v>50</v>
      </c>
      <c r="P66">
        <v>17</v>
      </c>
      <c r="Q66">
        <v>328</v>
      </c>
      <c r="R66">
        <v>6</v>
      </c>
      <c r="S66">
        <v>8.6929999999999996</v>
      </c>
      <c r="T66" t="s">
        <v>46</v>
      </c>
      <c r="U66">
        <v>0.15948631471751462</v>
      </c>
      <c r="V66" t="s">
        <v>40</v>
      </c>
      <c r="W66" t="s">
        <v>41</v>
      </c>
      <c r="X66">
        <v>771.2251</v>
      </c>
    </row>
    <row r="67" spans="1:24" x14ac:dyDescent="0.25">
      <c r="A67" t="s">
        <v>33</v>
      </c>
      <c r="B67" t="s">
        <v>119</v>
      </c>
      <c r="C67">
        <v>33.697699999999998</v>
      </c>
      <c r="D67">
        <v>72</v>
      </c>
      <c r="E67">
        <v>457</v>
      </c>
      <c r="F67">
        <v>8354.5796864819949</v>
      </c>
      <c r="G67" t="s">
        <v>55</v>
      </c>
      <c r="H67">
        <v>57</v>
      </c>
      <c r="I67">
        <v>24</v>
      </c>
      <c r="J67">
        <v>54</v>
      </c>
      <c r="K67">
        <v>8</v>
      </c>
      <c r="L67" t="s">
        <v>43</v>
      </c>
      <c r="M67">
        <v>6.5805413478845951</v>
      </c>
      <c r="N67" t="s">
        <v>44</v>
      </c>
      <c r="O67" t="s">
        <v>45</v>
      </c>
      <c r="P67">
        <v>16</v>
      </c>
      <c r="Q67">
        <v>358</v>
      </c>
      <c r="R67">
        <v>21</v>
      </c>
      <c r="S67">
        <v>1.5972</v>
      </c>
      <c r="T67" t="s">
        <v>46</v>
      </c>
      <c r="U67">
        <v>4.911095954842331</v>
      </c>
      <c r="V67" t="s">
        <v>47</v>
      </c>
      <c r="W67" t="s">
        <v>41</v>
      </c>
      <c r="X67">
        <v>555.85910000000001</v>
      </c>
    </row>
    <row r="68" spans="1:24" x14ac:dyDescent="0.25">
      <c r="A68" t="s">
        <v>33</v>
      </c>
      <c r="B68" t="s">
        <v>120</v>
      </c>
      <c r="C68">
        <v>26.0349</v>
      </c>
      <c r="D68">
        <v>52</v>
      </c>
      <c r="E68">
        <v>704</v>
      </c>
      <c r="F68">
        <v>8367.721618020154</v>
      </c>
      <c r="G68" t="s">
        <v>35</v>
      </c>
      <c r="H68">
        <v>13</v>
      </c>
      <c r="I68">
        <v>17</v>
      </c>
      <c r="J68">
        <v>19</v>
      </c>
      <c r="K68">
        <v>8</v>
      </c>
      <c r="L68" t="s">
        <v>36</v>
      </c>
      <c r="M68">
        <v>2.2161427287713633</v>
      </c>
      <c r="N68" t="s">
        <v>44</v>
      </c>
      <c r="O68" t="s">
        <v>45</v>
      </c>
      <c r="P68">
        <v>24</v>
      </c>
      <c r="Q68">
        <v>867</v>
      </c>
      <c r="R68">
        <v>28</v>
      </c>
      <c r="S68">
        <v>42.084400000000002</v>
      </c>
      <c r="T68" t="s">
        <v>46</v>
      </c>
      <c r="U68">
        <v>3.4480632883402618</v>
      </c>
      <c r="V68" t="s">
        <v>31</v>
      </c>
      <c r="W68" t="s">
        <v>48</v>
      </c>
      <c r="X68">
        <v>393.8433</v>
      </c>
    </row>
    <row r="69" spans="1:24" x14ac:dyDescent="0.25">
      <c r="A69" t="s">
        <v>33</v>
      </c>
      <c r="B69" t="s">
        <v>121</v>
      </c>
      <c r="C69">
        <v>87.755399999999995</v>
      </c>
      <c r="D69">
        <v>16</v>
      </c>
      <c r="E69">
        <v>513</v>
      </c>
      <c r="F69">
        <v>9473.7980325083372</v>
      </c>
      <c r="G69" t="s">
        <v>38</v>
      </c>
      <c r="H69">
        <v>12</v>
      </c>
      <c r="I69">
        <v>9</v>
      </c>
      <c r="J69">
        <v>71</v>
      </c>
      <c r="K69">
        <v>9</v>
      </c>
      <c r="L69" t="s">
        <v>43</v>
      </c>
      <c r="M69">
        <v>9.147811544710633</v>
      </c>
      <c r="N69" t="s">
        <v>39</v>
      </c>
      <c r="O69" t="s">
        <v>29</v>
      </c>
      <c r="P69">
        <v>10</v>
      </c>
      <c r="Q69">
        <v>198</v>
      </c>
      <c r="R69">
        <v>11</v>
      </c>
      <c r="S69">
        <v>7.0579000000000001</v>
      </c>
      <c r="T69" t="s">
        <v>64</v>
      </c>
      <c r="U69">
        <v>0.13195544431181483</v>
      </c>
      <c r="V69" t="s">
        <v>56</v>
      </c>
      <c r="W69" t="s">
        <v>41</v>
      </c>
      <c r="X69">
        <v>169.27180000000001</v>
      </c>
    </row>
    <row r="70" spans="1:24" x14ac:dyDescent="0.25">
      <c r="A70" t="s">
        <v>24</v>
      </c>
      <c r="B70" t="s">
        <v>122</v>
      </c>
      <c r="C70">
        <v>37.931800000000003</v>
      </c>
      <c r="D70">
        <v>29</v>
      </c>
      <c r="E70">
        <v>163</v>
      </c>
      <c r="F70">
        <v>3550.2184327809919</v>
      </c>
      <c r="G70" t="s">
        <v>26</v>
      </c>
      <c r="H70">
        <v>0</v>
      </c>
      <c r="I70">
        <v>8</v>
      </c>
      <c r="J70">
        <v>58</v>
      </c>
      <c r="K70">
        <v>8</v>
      </c>
      <c r="L70" t="s">
        <v>27</v>
      </c>
      <c r="M70">
        <v>1.1942518648849991</v>
      </c>
      <c r="N70" t="s">
        <v>61</v>
      </c>
      <c r="O70" t="s">
        <v>53</v>
      </c>
      <c r="P70">
        <v>2</v>
      </c>
      <c r="Q70">
        <v>375</v>
      </c>
      <c r="R70">
        <v>18</v>
      </c>
      <c r="S70">
        <v>97.113600000000005</v>
      </c>
      <c r="T70" t="s">
        <v>46</v>
      </c>
      <c r="U70">
        <v>1.9834678721741801</v>
      </c>
      <c r="V70" t="s">
        <v>47</v>
      </c>
      <c r="W70" t="s">
        <v>48</v>
      </c>
      <c r="X70">
        <v>299.7063</v>
      </c>
    </row>
    <row r="71" spans="1:24" x14ac:dyDescent="0.25">
      <c r="A71" t="s">
        <v>33</v>
      </c>
      <c r="B71" t="s">
        <v>123</v>
      </c>
      <c r="C71">
        <v>54.865499999999997</v>
      </c>
      <c r="D71">
        <v>62</v>
      </c>
      <c r="E71">
        <v>511</v>
      </c>
      <c r="F71">
        <v>1752.3810874841247</v>
      </c>
      <c r="G71" t="s">
        <v>26</v>
      </c>
      <c r="H71">
        <v>95</v>
      </c>
      <c r="I71">
        <v>1</v>
      </c>
      <c r="J71">
        <v>27</v>
      </c>
      <c r="K71">
        <v>3</v>
      </c>
      <c r="L71" t="s">
        <v>27</v>
      </c>
      <c r="M71">
        <v>9.7052867901203488</v>
      </c>
      <c r="N71" t="s">
        <v>52</v>
      </c>
      <c r="O71" t="s">
        <v>45</v>
      </c>
      <c r="P71">
        <v>9</v>
      </c>
      <c r="Q71">
        <v>862</v>
      </c>
      <c r="R71">
        <v>7</v>
      </c>
      <c r="S71">
        <v>77.627799999999993</v>
      </c>
      <c r="T71" t="s">
        <v>30</v>
      </c>
      <c r="U71">
        <v>1.3623879886491086</v>
      </c>
      <c r="V71" t="s">
        <v>40</v>
      </c>
      <c r="W71" t="s">
        <v>48</v>
      </c>
      <c r="X71">
        <v>207.66319999999999</v>
      </c>
    </row>
    <row r="72" spans="1:24" x14ac:dyDescent="0.25">
      <c r="A72" t="s">
        <v>24</v>
      </c>
      <c r="B72" t="s">
        <v>124</v>
      </c>
      <c r="C72">
        <v>47.914499999999997</v>
      </c>
      <c r="D72">
        <v>90</v>
      </c>
      <c r="E72">
        <v>32</v>
      </c>
      <c r="F72">
        <v>7014.8879872033885</v>
      </c>
      <c r="G72" t="s">
        <v>35</v>
      </c>
      <c r="H72">
        <v>10</v>
      </c>
      <c r="I72">
        <v>12</v>
      </c>
      <c r="J72">
        <v>22</v>
      </c>
      <c r="K72">
        <v>4</v>
      </c>
      <c r="L72" t="s">
        <v>27</v>
      </c>
      <c r="M72">
        <v>6.3157177546007226</v>
      </c>
      <c r="N72" t="s">
        <v>39</v>
      </c>
      <c r="O72" t="s">
        <v>53</v>
      </c>
      <c r="P72">
        <v>22</v>
      </c>
      <c r="Q72">
        <v>775</v>
      </c>
      <c r="R72">
        <v>16</v>
      </c>
      <c r="S72">
        <v>11.440799999999999</v>
      </c>
      <c r="T72" t="s">
        <v>64</v>
      </c>
      <c r="U72">
        <v>1.8305755986122314</v>
      </c>
      <c r="V72" t="s">
        <v>31</v>
      </c>
      <c r="W72" t="s">
        <v>41</v>
      </c>
      <c r="X72">
        <v>183.27289999999999</v>
      </c>
    </row>
    <row r="73" spans="1:24" x14ac:dyDescent="0.25">
      <c r="A73" t="s">
        <v>57</v>
      </c>
      <c r="B73" t="s">
        <v>125</v>
      </c>
      <c r="C73">
        <v>6.3815</v>
      </c>
      <c r="D73">
        <v>14</v>
      </c>
      <c r="E73">
        <v>637</v>
      </c>
      <c r="F73">
        <v>8180.3370854254426</v>
      </c>
      <c r="G73" t="s">
        <v>35</v>
      </c>
      <c r="H73">
        <v>76</v>
      </c>
      <c r="I73">
        <v>2</v>
      </c>
      <c r="J73">
        <v>26</v>
      </c>
      <c r="K73">
        <v>6</v>
      </c>
      <c r="L73" t="s">
        <v>36</v>
      </c>
      <c r="M73">
        <v>9.2281903170525172</v>
      </c>
      <c r="N73" t="s">
        <v>61</v>
      </c>
      <c r="O73" t="s">
        <v>53</v>
      </c>
      <c r="P73">
        <v>2</v>
      </c>
      <c r="Q73">
        <v>258</v>
      </c>
      <c r="R73">
        <v>10</v>
      </c>
      <c r="S73">
        <v>30.6617</v>
      </c>
      <c r="T73" t="s">
        <v>30</v>
      </c>
      <c r="U73">
        <v>2.0787506078749689</v>
      </c>
      <c r="V73" t="s">
        <v>31</v>
      </c>
      <c r="W73" t="s">
        <v>48</v>
      </c>
      <c r="X73">
        <v>405.1671</v>
      </c>
    </row>
    <row r="74" spans="1:24" x14ac:dyDescent="0.25">
      <c r="A74" t="s">
        <v>57</v>
      </c>
      <c r="B74" t="s">
        <v>126</v>
      </c>
      <c r="C74">
        <v>90.204400000000007</v>
      </c>
      <c r="D74">
        <v>88</v>
      </c>
      <c r="E74">
        <v>478</v>
      </c>
      <c r="F74">
        <v>2633.1219813122557</v>
      </c>
      <c r="G74" t="s">
        <v>26</v>
      </c>
      <c r="H74">
        <v>57</v>
      </c>
      <c r="I74">
        <v>29</v>
      </c>
      <c r="J74">
        <v>77</v>
      </c>
      <c r="K74">
        <v>9</v>
      </c>
      <c r="L74" t="s">
        <v>36</v>
      </c>
      <c r="M74">
        <v>6.5996141596895441</v>
      </c>
      <c r="N74" t="s">
        <v>39</v>
      </c>
      <c r="O74" t="s">
        <v>53</v>
      </c>
      <c r="P74">
        <v>21</v>
      </c>
      <c r="Q74">
        <v>152</v>
      </c>
      <c r="R74">
        <v>11</v>
      </c>
      <c r="S74">
        <v>55.7605</v>
      </c>
      <c r="T74" t="s">
        <v>30</v>
      </c>
      <c r="U74">
        <v>3.2133296074383089</v>
      </c>
      <c r="V74" t="s">
        <v>47</v>
      </c>
      <c r="W74" t="s">
        <v>32</v>
      </c>
      <c r="X74">
        <v>677.94460000000004</v>
      </c>
    </row>
    <row r="75" spans="1:24" x14ac:dyDescent="0.25">
      <c r="A75" t="s">
        <v>57</v>
      </c>
      <c r="B75" t="s">
        <v>127</v>
      </c>
      <c r="C75">
        <v>83.850999999999999</v>
      </c>
      <c r="D75">
        <v>41</v>
      </c>
      <c r="E75">
        <v>375</v>
      </c>
      <c r="F75">
        <v>7910.8869161406856</v>
      </c>
      <c r="G75" t="s">
        <v>55</v>
      </c>
      <c r="H75">
        <v>17</v>
      </c>
      <c r="I75">
        <v>25</v>
      </c>
      <c r="J75">
        <v>66</v>
      </c>
      <c r="K75">
        <v>5</v>
      </c>
      <c r="L75" t="s">
        <v>27</v>
      </c>
      <c r="M75">
        <v>1.5129368369160772</v>
      </c>
      <c r="N75" t="s">
        <v>52</v>
      </c>
      <c r="O75" t="s">
        <v>62</v>
      </c>
      <c r="P75">
        <v>13</v>
      </c>
      <c r="Q75">
        <v>444</v>
      </c>
      <c r="R75">
        <v>4</v>
      </c>
      <c r="S75">
        <v>46.870199999999997</v>
      </c>
      <c r="T75" t="s">
        <v>46</v>
      </c>
      <c r="U75">
        <v>4.6205460645137064</v>
      </c>
      <c r="V75" t="s">
        <v>31</v>
      </c>
      <c r="W75" t="s">
        <v>48</v>
      </c>
      <c r="X75">
        <v>866.47280000000001</v>
      </c>
    </row>
    <row r="76" spans="1:24" x14ac:dyDescent="0.25">
      <c r="A76" t="s">
        <v>24</v>
      </c>
      <c r="B76" t="s">
        <v>128</v>
      </c>
      <c r="C76">
        <v>3.17</v>
      </c>
      <c r="D76">
        <v>64</v>
      </c>
      <c r="E76">
        <v>904</v>
      </c>
      <c r="F76">
        <v>5709.9452959692871</v>
      </c>
      <c r="G76" t="s">
        <v>35</v>
      </c>
      <c r="H76">
        <v>41</v>
      </c>
      <c r="I76">
        <v>6</v>
      </c>
      <c r="J76">
        <v>1</v>
      </c>
      <c r="K76">
        <v>5</v>
      </c>
      <c r="L76" t="s">
        <v>36</v>
      </c>
      <c r="M76">
        <v>5.2376546500374479</v>
      </c>
      <c r="N76" t="s">
        <v>52</v>
      </c>
      <c r="O76" t="s">
        <v>50</v>
      </c>
      <c r="P76">
        <v>1</v>
      </c>
      <c r="Q76">
        <v>919</v>
      </c>
      <c r="R76">
        <v>9</v>
      </c>
      <c r="S76">
        <v>80.5809</v>
      </c>
      <c r="T76" t="s">
        <v>46</v>
      </c>
      <c r="U76">
        <v>0.39661272410993542</v>
      </c>
      <c r="V76" t="s">
        <v>47</v>
      </c>
      <c r="W76" t="s">
        <v>48</v>
      </c>
      <c r="X76">
        <v>341.55270000000002</v>
      </c>
    </row>
    <row r="77" spans="1:24" x14ac:dyDescent="0.25">
      <c r="A77" t="s">
        <v>33</v>
      </c>
      <c r="B77" t="s">
        <v>129</v>
      </c>
      <c r="C77">
        <v>92.996899999999997</v>
      </c>
      <c r="D77">
        <v>29</v>
      </c>
      <c r="E77">
        <v>106</v>
      </c>
      <c r="F77">
        <v>1889.073589779335</v>
      </c>
      <c r="G77" t="s">
        <v>26</v>
      </c>
      <c r="H77">
        <v>16</v>
      </c>
      <c r="I77">
        <v>20</v>
      </c>
      <c r="J77">
        <v>56</v>
      </c>
      <c r="K77">
        <v>10</v>
      </c>
      <c r="L77" t="s">
        <v>43</v>
      </c>
      <c r="M77">
        <v>2.4738977610454609</v>
      </c>
      <c r="N77" t="s">
        <v>39</v>
      </c>
      <c r="O77" t="s">
        <v>62</v>
      </c>
      <c r="P77">
        <v>25</v>
      </c>
      <c r="Q77">
        <v>759</v>
      </c>
      <c r="R77">
        <v>11</v>
      </c>
      <c r="S77">
        <v>48.064799999999998</v>
      </c>
      <c r="T77" t="s">
        <v>64</v>
      </c>
      <c r="U77">
        <v>2.0300690886687516</v>
      </c>
      <c r="V77" t="s">
        <v>40</v>
      </c>
      <c r="W77" t="s">
        <v>41</v>
      </c>
      <c r="X77">
        <v>873.12959999999998</v>
      </c>
    </row>
    <row r="78" spans="1:24" x14ac:dyDescent="0.25">
      <c r="A78" t="s">
        <v>24</v>
      </c>
      <c r="B78" t="s">
        <v>130</v>
      </c>
      <c r="C78">
        <v>69.108800000000002</v>
      </c>
      <c r="D78">
        <v>23</v>
      </c>
      <c r="E78">
        <v>241</v>
      </c>
      <c r="F78">
        <v>5328.3759842977579</v>
      </c>
      <c r="G78" t="s">
        <v>55</v>
      </c>
      <c r="H78">
        <v>38</v>
      </c>
      <c r="I78">
        <v>1</v>
      </c>
      <c r="J78">
        <v>22</v>
      </c>
      <c r="K78">
        <v>10</v>
      </c>
      <c r="L78" t="s">
        <v>36</v>
      </c>
      <c r="M78">
        <v>7.0545383368369263</v>
      </c>
      <c r="N78" t="s">
        <v>61</v>
      </c>
      <c r="O78" t="s">
        <v>53</v>
      </c>
      <c r="P78">
        <v>25</v>
      </c>
      <c r="Q78">
        <v>985</v>
      </c>
      <c r="R78">
        <v>24</v>
      </c>
      <c r="S78">
        <v>64.323599999999999</v>
      </c>
      <c r="T78" t="s">
        <v>30</v>
      </c>
      <c r="U78">
        <v>2.1800374515822165</v>
      </c>
      <c r="V78" t="s">
        <v>47</v>
      </c>
      <c r="W78" t="s">
        <v>48</v>
      </c>
      <c r="X78">
        <v>997.4135</v>
      </c>
    </row>
    <row r="79" spans="1:24" x14ac:dyDescent="0.25">
      <c r="A79" t="s">
        <v>24</v>
      </c>
      <c r="B79" t="s">
        <v>131</v>
      </c>
      <c r="C79">
        <v>57.4497</v>
      </c>
      <c r="D79">
        <v>14</v>
      </c>
      <c r="E79">
        <v>359</v>
      </c>
      <c r="F79">
        <v>2483.7601775427947</v>
      </c>
      <c r="G79" t="s">
        <v>38</v>
      </c>
      <c r="H79">
        <v>96</v>
      </c>
      <c r="I79">
        <v>28</v>
      </c>
      <c r="J79">
        <v>57</v>
      </c>
      <c r="K79">
        <v>4</v>
      </c>
      <c r="L79" t="s">
        <v>27</v>
      </c>
      <c r="M79">
        <v>6.7809466256178954</v>
      </c>
      <c r="N79" t="s">
        <v>39</v>
      </c>
      <c r="O79" t="s">
        <v>45</v>
      </c>
      <c r="P79">
        <v>26</v>
      </c>
      <c r="Q79">
        <v>334</v>
      </c>
      <c r="R79">
        <v>5</v>
      </c>
      <c r="S79">
        <v>42.952399999999997</v>
      </c>
      <c r="T79" t="s">
        <v>64</v>
      </c>
      <c r="U79">
        <v>3.0551418183075478</v>
      </c>
      <c r="V79" t="s">
        <v>31</v>
      </c>
      <c r="W79" t="s">
        <v>32</v>
      </c>
      <c r="X79">
        <v>852.56809999999996</v>
      </c>
    </row>
    <row r="80" spans="1:24" x14ac:dyDescent="0.25">
      <c r="A80" t="s">
        <v>24</v>
      </c>
      <c r="B80" t="s">
        <v>132</v>
      </c>
      <c r="C80">
        <v>6.3068999999999997</v>
      </c>
      <c r="D80">
        <v>50</v>
      </c>
      <c r="E80">
        <v>946</v>
      </c>
      <c r="F80">
        <v>1292.4584179377562</v>
      </c>
      <c r="G80" t="s">
        <v>38</v>
      </c>
      <c r="H80">
        <v>5</v>
      </c>
      <c r="I80">
        <v>4</v>
      </c>
      <c r="J80">
        <v>51</v>
      </c>
      <c r="K80">
        <v>5</v>
      </c>
      <c r="L80" t="s">
        <v>27</v>
      </c>
      <c r="M80">
        <v>8.4670497708619905</v>
      </c>
      <c r="N80" t="s">
        <v>44</v>
      </c>
      <c r="O80" t="s">
        <v>29</v>
      </c>
      <c r="P80">
        <v>25</v>
      </c>
      <c r="Q80">
        <v>858</v>
      </c>
      <c r="R80">
        <v>21</v>
      </c>
      <c r="S80">
        <v>71.126499999999993</v>
      </c>
      <c r="T80" t="s">
        <v>30</v>
      </c>
      <c r="U80">
        <v>4.0968813324704518</v>
      </c>
      <c r="V80" t="s">
        <v>56</v>
      </c>
      <c r="W80" t="s">
        <v>41</v>
      </c>
      <c r="X80">
        <v>323.59219999999999</v>
      </c>
    </row>
    <row r="81" spans="1:24" x14ac:dyDescent="0.25">
      <c r="A81" t="s">
        <v>24</v>
      </c>
      <c r="B81" t="s">
        <v>133</v>
      </c>
      <c r="C81">
        <v>57.057000000000002</v>
      </c>
      <c r="D81">
        <v>56</v>
      </c>
      <c r="E81">
        <v>198</v>
      </c>
      <c r="F81">
        <v>7888.7232684270812</v>
      </c>
      <c r="G81" t="s">
        <v>26</v>
      </c>
      <c r="H81">
        <v>31</v>
      </c>
      <c r="I81">
        <v>25</v>
      </c>
      <c r="J81">
        <v>20</v>
      </c>
      <c r="K81">
        <v>1</v>
      </c>
      <c r="L81" t="s">
        <v>27</v>
      </c>
      <c r="M81">
        <v>6.4963253642950445</v>
      </c>
      <c r="N81" t="s">
        <v>28</v>
      </c>
      <c r="O81" t="s">
        <v>53</v>
      </c>
      <c r="P81">
        <v>5</v>
      </c>
      <c r="Q81">
        <v>228</v>
      </c>
      <c r="R81">
        <v>12</v>
      </c>
      <c r="S81">
        <v>57.870899999999999</v>
      </c>
      <c r="T81" t="s">
        <v>30</v>
      </c>
      <c r="U81">
        <v>0.16587162748060824</v>
      </c>
      <c r="V81" t="s">
        <v>40</v>
      </c>
      <c r="W81" t="s">
        <v>41</v>
      </c>
      <c r="X81">
        <v>351.50420000000003</v>
      </c>
    </row>
    <row r="82" spans="1:24" x14ac:dyDescent="0.25">
      <c r="A82" t="s">
        <v>33</v>
      </c>
      <c r="B82" t="s">
        <v>134</v>
      </c>
      <c r="C82">
        <v>91.128299999999996</v>
      </c>
      <c r="D82">
        <v>75</v>
      </c>
      <c r="E82">
        <v>872</v>
      </c>
      <c r="F82">
        <v>8651.6726829820655</v>
      </c>
      <c r="G82" t="s">
        <v>38</v>
      </c>
      <c r="H82">
        <v>39</v>
      </c>
      <c r="I82">
        <v>14</v>
      </c>
      <c r="J82">
        <v>41</v>
      </c>
      <c r="K82">
        <v>2</v>
      </c>
      <c r="L82" t="s">
        <v>43</v>
      </c>
      <c r="M82">
        <v>2.8331846794189746</v>
      </c>
      <c r="N82" t="s">
        <v>28</v>
      </c>
      <c r="O82" t="s">
        <v>62</v>
      </c>
      <c r="P82">
        <v>8</v>
      </c>
      <c r="Q82">
        <v>202</v>
      </c>
      <c r="R82">
        <v>5</v>
      </c>
      <c r="S82">
        <v>76.961200000000005</v>
      </c>
      <c r="T82" t="s">
        <v>46</v>
      </c>
      <c r="U82">
        <v>2.8496621985053308</v>
      </c>
      <c r="V82" t="s">
        <v>56</v>
      </c>
      <c r="W82" t="s">
        <v>32</v>
      </c>
      <c r="X82">
        <v>787.7799</v>
      </c>
    </row>
    <row r="83" spans="1:24" x14ac:dyDescent="0.25">
      <c r="A83" t="s">
        <v>24</v>
      </c>
      <c r="B83" t="s">
        <v>135</v>
      </c>
      <c r="C83">
        <v>72.819199999999995</v>
      </c>
      <c r="D83">
        <v>9</v>
      </c>
      <c r="E83">
        <v>774</v>
      </c>
      <c r="F83">
        <v>4384.4134000458625</v>
      </c>
      <c r="G83" t="s">
        <v>38</v>
      </c>
      <c r="H83">
        <v>48</v>
      </c>
      <c r="I83">
        <v>6</v>
      </c>
      <c r="J83">
        <v>8</v>
      </c>
      <c r="K83">
        <v>5</v>
      </c>
      <c r="L83" t="s">
        <v>27</v>
      </c>
      <c r="M83">
        <v>4.0662775015120438</v>
      </c>
      <c r="N83" t="s">
        <v>28</v>
      </c>
      <c r="O83" t="s">
        <v>50</v>
      </c>
      <c r="P83">
        <v>28</v>
      </c>
      <c r="Q83">
        <v>698</v>
      </c>
      <c r="R83">
        <v>1</v>
      </c>
      <c r="S83">
        <v>19.7896</v>
      </c>
      <c r="T83" t="s">
        <v>30</v>
      </c>
      <c r="U83">
        <v>2.5475471215487118</v>
      </c>
      <c r="V83" t="s">
        <v>47</v>
      </c>
      <c r="W83" t="s">
        <v>32</v>
      </c>
      <c r="X83">
        <v>276.7783</v>
      </c>
    </row>
    <row r="84" spans="1:24" x14ac:dyDescent="0.25">
      <c r="A84" t="s">
        <v>33</v>
      </c>
      <c r="B84" t="s">
        <v>136</v>
      </c>
      <c r="C84">
        <v>17.0349</v>
      </c>
      <c r="D84">
        <v>13</v>
      </c>
      <c r="E84">
        <v>336</v>
      </c>
      <c r="F84">
        <v>2943.3818676094515</v>
      </c>
      <c r="G84" t="s">
        <v>38</v>
      </c>
      <c r="H84">
        <v>42</v>
      </c>
      <c r="I84">
        <v>19</v>
      </c>
      <c r="J84">
        <v>72</v>
      </c>
      <c r="K84">
        <v>1</v>
      </c>
      <c r="L84" t="s">
        <v>36</v>
      </c>
      <c r="M84">
        <v>4.7081818735419301</v>
      </c>
      <c r="N84" t="s">
        <v>61</v>
      </c>
      <c r="O84" t="s">
        <v>29</v>
      </c>
      <c r="P84">
        <v>6</v>
      </c>
      <c r="Q84">
        <v>955</v>
      </c>
      <c r="R84">
        <v>26</v>
      </c>
      <c r="S84">
        <v>4.4653</v>
      </c>
      <c r="T84" t="s">
        <v>30</v>
      </c>
      <c r="U84">
        <v>4.1378770486223573</v>
      </c>
      <c r="V84" t="s">
        <v>31</v>
      </c>
      <c r="W84" t="s">
        <v>41</v>
      </c>
      <c r="X84">
        <v>589.97860000000003</v>
      </c>
    </row>
    <row r="85" spans="1:24" x14ac:dyDescent="0.25">
      <c r="A85" t="s">
        <v>24</v>
      </c>
      <c r="B85" t="s">
        <v>137</v>
      </c>
      <c r="C85">
        <v>68.911199999999994</v>
      </c>
      <c r="D85">
        <v>82</v>
      </c>
      <c r="E85">
        <v>663</v>
      </c>
      <c r="F85">
        <v>2411.754632110491</v>
      </c>
      <c r="G85" t="s">
        <v>38</v>
      </c>
      <c r="H85">
        <v>65</v>
      </c>
      <c r="I85">
        <v>24</v>
      </c>
      <c r="J85">
        <v>7</v>
      </c>
      <c r="K85">
        <v>8</v>
      </c>
      <c r="L85" t="s">
        <v>27</v>
      </c>
      <c r="M85">
        <v>4.9498395779969488</v>
      </c>
      <c r="N85" t="s">
        <v>39</v>
      </c>
      <c r="O85" t="s">
        <v>53</v>
      </c>
      <c r="P85">
        <v>20</v>
      </c>
      <c r="Q85">
        <v>443</v>
      </c>
      <c r="R85">
        <v>5</v>
      </c>
      <c r="S85">
        <v>97.730599999999995</v>
      </c>
      <c r="T85" t="s">
        <v>46</v>
      </c>
      <c r="U85">
        <v>0.77300613406724783</v>
      </c>
      <c r="V85" t="s">
        <v>31</v>
      </c>
      <c r="W85" t="s">
        <v>48</v>
      </c>
      <c r="X85">
        <v>682.971</v>
      </c>
    </row>
    <row r="86" spans="1:24" x14ac:dyDescent="0.25">
      <c r="A86" t="s">
        <v>24</v>
      </c>
      <c r="B86" t="s">
        <v>138</v>
      </c>
      <c r="C86">
        <v>89.104399999999998</v>
      </c>
      <c r="D86">
        <v>99</v>
      </c>
      <c r="E86">
        <v>618</v>
      </c>
      <c r="F86">
        <v>2048.2900998487103</v>
      </c>
      <c r="G86" t="s">
        <v>38</v>
      </c>
      <c r="H86">
        <v>73</v>
      </c>
      <c r="I86">
        <v>26</v>
      </c>
      <c r="J86">
        <v>80</v>
      </c>
      <c r="K86">
        <v>10</v>
      </c>
      <c r="L86" t="s">
        <v>36</v>
      </c>
      <c r="M86">
        <v>8.381615624922631</v>
      </c>
      <c r="N86" t="s">
        <v>44</v>
      </c>
      <c r="O86" t="s">
        <v>62</v>
      </c>
      <c r="P86">
        <v>24</v>
      </c>
      <c r="Q86">
        <v>589</v>
      </c>
      <c r="R86">
        <v>22</v>
      </c>
      <c r="S86">
        <v>33.808599999999998</v>
      </c>
      <c r="T86" t="s">
        <v>64</v>
      </c>
      <c r="U86">
        <v>4.8434565771180411</v>
      </c>
      <c r="V86" t="s">
        <v>40</v>
      </c>
      <c r="W86" t="s">
        <v>32</v>
      </c>
      <c r="X86">
        <v>465.45699999999999</v>
      </c>
    </row>
    <row r="87" spans="1:24" x14ac:dyDescent="0.25">
      <c r="A87" t="s">
        <v>57</v>
      </c>
      <c r="B87" t="s">
        <v>139</v>
      </c>
      <c r="C87">
        <v>76.962999999999994</v>
      </c>
      <c r="D87">
        <v>83</v>
      </c>
      <c r="E87">
        <v>25</v>
      </c>
      <c r="F87">
        <v>8684.6130592538575</v>
      </c>
      <c r="G87" t="s">
        <v>35</v>
      </c>
      <c r="H87">
        <v>15</v>
      </c>
      <c r="I87">
        <v>18</v>
      </c>
      <c r="J87">
        <v>66</v>
      </c>
      <c r="K87">
        <v>2</v>
      </c>
      <c r="L87" t="s">
        <v>43</v>
      </c>
      <c r="M87">
        <v>8.2491687048717282</v>
      </c>
      <c r="N87" t="s">
        <v>44</v>
      </c>
      <c r="O87" t="s">
        <v>62</v>
      </c>
      <c r="P87">
        <v>4</v>
      </c>
      <c r="Q87">
        <v>211</v>
      </c>
      <c r="R87">
        <v>2</v>
      </c>
      <c r="S87">
        <v>69.929299999999998</v>
      </c>
      <c r="T87" t="s">
        <v>46</v>
      </c>
      <c r="U87">
        <v>1.3744289997457582</v>
      </c>
      <c r="V87" t="s">
        <v>31</v>
      </c>
      <c r="W87" t="s">
        <v>32</v>
      </c>
      <c r="X87">
        <v>842.68679999999995</v>
      </c>
    </row>
    <row r="88" spans="1:24" x14ac:dyDescent="0.25">
      <c r="A88" t="s">
        <v>33</v>
      </c>
      <c r="B88" t="s">
        <v>140</v>
      </c>
      <c r="C88">
        <v>19.998200000000001</v>
      </c>
      <c r="D88">
        <v>18</v>
      </c>
      <c r="E88">
        <v>223</v>
      </c>
      <c r="F88">
        <v>1229.5910285649834</v>
      </c>
      <c r="G88" t="s">
        <v>38</v>
      </c>
      <c r="H88">
        <v>32</v>
      </c>
      <c r="I88">
        <v>14</v>
      </c>
      <c r="J88">
        <v>22</v>
      </c>
      <c r="K88">
        <v>6</v>
      </c>
      <c r="L88" t="s">
        <v>27</v>
      </c>
      <c r="M88">
        <v>1.4543053101535515</v>
      </c>
      <c r="N88" t="s">
        <v>39</v>
      </c>
      <c r="O88" t="s">
        <v>29</v>
      </c>
      <c r="P88">
        <v>4</v>
      </c>
      <c r="Q88">
        <v>569</v>
      </c>
      <c r="R88">
        <v>18</v>
      </c>
      <c r="S88">
        <v>74.608999999999995</v>
      </c>
      <c r="T88" t="s">
        <v>64</v>
      </c>
      <c r="U88">
        <v>2.0515129307662465</v>
      </c>
      <c r="V88" t="s">
        <v>47</v>
      </c>
      <c r="W88" t="s">
        <v>48</v>
      </c>
      <c r="X88">
        <v>264.25490000000002</v>
      </c>
    </row>
    <row r="89" spans="1:24" x14ac:dyDescent="0.25">
      <c r="A89" t="s">
        <v>24</v>
      </c>
      <c r="B89" t="s">
        <v>141</v>
      </c>
      <c r="C89">
        <v>80.414000000000001</v>
      </c>
      <c r="D89">
        <v>24</v>
      </c>
      <c r="E89">
        <v>79</v>
      </c>
      <c r="F89">
        <v>5133.8467010866916</v>
      </c>
      <c r="G89" t="s">
        <v>55</v>
      </c>
      <c r="H89">
        <v>5</v>
      </c>
      <c r="I89">
        <v>7</v>
      </c>
      <c r="J89">
        <v>55</v>
      </c>
      <c r="K89">
        <v>10</v>
      </c>
      <c r="L89" t="s">
        <v>36</v>
      </c>
      <c r="M89">
        <v>6.5758037975485353</v>
      </c>
      <c r="N89" t="s">
        <v>28</v>
      </c>
      <c r="O89" t="s">
        <v>62</v>
      </c>
      <c r="P89">
        <v>27</v>
      </c>
      <c r="Q89">
        <v>523</v>
      </c>
      <c r="R89">
        <v>17</v>
      </c>
      <c r="S89">
        <v>28.696999999999999</v>
      </c>
      <c r="T89" t="s">
        <v>46</v>
      </c>
      <c r="U89">
        <v>3.6937377878392756</v>
      </c>
      <c r="V89" t="s">
        <v>56</v>
      </c>
      <c r="W89" t="s">
        <v>32</v>
      </c>
      <c r="X89">
        <v>879.35919999999999</v>
      </c>
    </row>
    <row r="90" spans="1:24" x14ac:dyDescent="0.25">
      <c r="A90" t="s">
        <v>57</v>
      </c>
      <c r="B90" t="s">
        <v>142</v>
      </c>
      <c r="C90">
        <v>75.270399999999995</v>
      </c>
      <c r="D90">
        <v>58</v>
      </c>
      <c r="E90">
        <v>737</v>
      </c>
      <c r="F90">
        <v>9444.7420330629793</v>
      </c>
      <c r="G90" t="s">
        <v>55</v>
      </c>
      <c r="H90">
        <v>60</v>
      </c>
      <c r="I90">
        <v>18</v>
      </c>
      <c r="J90">
        <v>85</v>
      </c>
      <c r="K90">
        <v>7</v>
      </c>
      <c r="L90" t="s">
        <v>36</v>
      </c>
      <c r="M90">
        <v>3.8012531329310777</v>
      </c>
      <c r="N90" t="s">
        <v>61</v>
      </c>
      <c r="O90" t="s">
        <v>29</v>
      </c>
      <c r="P90">
        <v>21</v>
      </c>
      <c r="Q90">
        <v>953</v>
      </c>
      <c r="R90">
        <v>11</v>
      </c>
      <c r="S90">
        <v>68.184899999999999</v>
      </c>
      <c r="T90" t="s">
        <v>30</v>
      </c>
      <c r="U90">
        <v>0.722204401882931</v>
      </c>
      <c r="V90" t="s">
        <v>56</v>
      </c>
      <c r="W90" t="s">
        <v>48</v>
      </c>
      <c r="X90">
        <v>103.9162</v>
      </c>
    </row>
    <row r="91" spans="1:24" x14ac:dyDescent="0.25">
      <c r="A91" t="s">
        <v>57</v>
      </c>
      <c r="B91" t="s">
        <v>143</v>
      </c>
      <c r="C91">
        <v>97.760099999999994</v>
      </c>
      <c r="D91">
        <v>10</v>
      </c>
      <c r="E91">
        <v>134</v>
      </c>
      <c r="F91">
        <v>5924.682566853231</v>
      </c>
      <c r="G91" t="s">
        <v>38</v>
      </c>
      <c r="H91">
        <v>90</v>
      </c>
      <c r="I91">
        <v>1</v>
      </c>
      <c r="J91">
        <v>27</v>
      </c>
      <c r="K91">
        <v>8</v>
      </c>
      <c r="L91" t="s">
        <v>27</v>
      </c>
      <c r="M91">
        <v>9.9298162452772587</v>
      </c>
      <c r="N91" t="s">
        <v>39</v>
      </c>
      <c r="O91" t="s">
        <v>45</v>
      </c>
      <c r="P91">
        <v>23</v>
      </c>
      <c r="Q91">
        <v>370</v>
      </c>
      <c r="R91">
        <v>11</v>
      </c>
      <c r="S91">
        <v>46.603900000000003</v>
      </c>
      <c r="T91" t="s">
        <v>30</v>
      </c>
      <c r="U91">
        <v>1.9076657339590746</v>
      </c>
      <c r="V91" t="s">
        <v>47</v>
      </c>
      <c r="W91" t="s">
        <v>32</v>
      </c>
      <c r="X91">
        <v>517.5</v>
      </c>
    </row>
    <row r="92" spans="1:24" x14ac:dyDescent="0.25">
      <c r="A92" t="s">
        <v>33</v>
      </c>
      <c r="B92" t="s">
        <v>144</v>
      </c>
      <c r="C92">
        <v>13.8819</v>
      </c>
      <c r="D92">
        <v>56</v>
      </c>
      <c r="E92">
        <v>320</v>
      </c>
      <c r="F92">
        <v>9592.6335702803117</v>
      </c>
      <c r="G92" t="s">
        <v>26</v>
      </c>
      <c r="H92">
        <v>66</v>
      </c>
      <c r="I92">
        <v>18</v>
      </c>
      <c r="J92">
        <v>96</v>
      </c>
      <c r="K92">
        <v>7</v>
      </c>
      <c r="L92" t="s">
        <v>27</v>
      </c>
      <c r="M92">
        <v>7.6744307081126939</v>
      </c>
      <c r="N92" t="s">
        <v>28</v>
      </c>
      <c r="O92" t="s">
        <v>53</v>
      </c>
      <c r="P92">
        <v>8</v>
      </c>
      <c r="Q92">
        <v>585</v>
      </c>
      <c r="R92">
        <v>8</v>
      </c>
      <c r="S92">
        <v>85.676000000000002</v>
      </c>
      <c r="T92" t="s">
        <v>64</v>
      </c>
      <c r="U92">
        <v>1.2193822244013885</v>
      </c>
      <c r="V92" t="s">
        <v>47</v>
      </c>
      <c r="W92" t="s">
        <v>32</v>
      </c>
      <c r="X92">
        <v>990.07849999999996</v>
      </c>
    </row>
    <row r="93" spans="1:24" x14ac:dyDescent="0.25">
      <c r="A93" t="s">
        <v>57</v>
      </c>
      <c r="B93" t="s">
        <v>145</v>
      </c>
      <c r="C93">
        <v>62.112000000000002</v>
      </c>
      <c r="D93">
        <v>90</v>
      </c>
      <c r="E93">
        <v>916</v>
      </c>
      <c r="F93">
        <v>1935.2067935075991</v>
      </c>
      <c r="G93" t="s">
        <v>55</v>
      </c>
      <c r="H93">
        <v>98</v>
      </c>
      <c r="I93">
        <v>22</v>
      </c>
      <c r="J93">
        <v>85</v>
      </c>
      <c r="K93">
        <v>7</v>
      </c>
      <c r="L93" t="s">
        <v>27</v>
      </c>
      <c r="M93">
        <v>7.4715140844011456</v>
      </c>
      <c r="N93" t="s">
        <v>52</v>
      </c>
      <c r="O93" t="s">
        <v>50</v>
      </c>
      <c r="P93">
        <v>5</v>
      </c>
      <c r="Q93">
        <v>207</v>
      </c>
      <c r="R93">
        <v>28</v>
      </c>
      <c r="S93">
        <v>39.7729</v>
      </c>
      <c r="T93" t="s">
        <v>30</v>
      </c>
      <c r="U93">
        <v>0.62600185820939458</v>
      </c>
      <c r="V93" t="s">
        <v>47</v>
      </c>
      <c r="W93" t="s">
        <v>32</v>
      </c>
      <c r="X93">
        <v>996.77829999999994</v>
      </c>
    </row>
    <row r="94" spans="1:24" x14ac:dyDescent="0.25">
      <c r="A94" t="s">
        <v>57</v>
      </c>
      <c r="B94" t="s">
        <v>146</v>
      </c>
      <c r="C94">
        <v>47.714199999999998</v>
      </c>
      <c r="D94">
        <v>44</v>
      </c>
      <c r="E94">
        <v>276</v>
      </c>
      <c r="F94">
        <v>2100.1297546259366</v>
      </c>
      <c r="G94" t="s">
        <v>55</v>
      </c>
      <c r="H94">
        <v>90</v>
      </c>
      <c r="I94">
        <v>25</v>
      </c>
      <c r="J94">
        <v>10</v>
      </c>
      <c r="K94">
        <v>8</v>
      </c>
      <c r="L94" t="s">
        <v>27</v>
      </c>
      <c r="M94">
        <v>4.4695000261236011</v>
      </c>
      <c r="N94" t="s">
        <v>61</v>
      </c>
      <c r="O94" t="s">
        <v>29</v>
      </c>
      <c r="P94">
        <v>4</v>
      </c>
      <c r="Q94">
        <v>671</v>
      </c>
      <c r="R94">
        <v>29</v>
      </c>
      <c r="S94">
        <v>62.612699999999997</v>
      </c>
      <c r="T94" t="s">
        <v>64</v>
      </c>
      <c r="U94">
        <v>0.33343182522473924</v>
      </c>
      <c r="V94" t="s">
        <v>47</v>
      </c>
      <c r="W94" t="s">
        <v>32</v>
      </c>
      <c r="X94">
        <v>230.09280000000001</v>
      </c>
    </row>
    <row r="95" spans="1:24" x14ac:dyDescent="0.25">
      <c r="A95" t="s">
        <v>24</v>
      </c>
      <c r="B95" t="s">
        <v>147</v>
      </c>
      <c r="C95">
        <v>69.290800000000004</v>
      </c>
      <c r="D95">
        <v>88</v>
      </c>
      <c r="E95">
        <v>114</v>
      </c>
      <c r="F95">
        <v>4531.4021336919095</v>
      </c>
      <c r="G95" t="s">
        <v>38</v>
      </c>
      <c r="H95">
        <v>63</v>
      </c>
      <c r="I95">
        <v>17</v>
      </c>
      <c r="J95">
        <v>66</v>
      </c>
      <c r="K95">
        <v>1</v>
      </c>
      <c r="L95" t="s">
        <v>43</v>
      </c>
      <c r="M95">
        <v>7.0064320590043945</v>
      </c>
      <c r="N95" t="s">
        <v>52</v>
      </c>
      <c r="O95" t="s">
        <v>62</v>
      </c>
      <c r="P95">
        <v>21</v>
      </c>
      <c r="Q95">
        <v>824</v>
      </c>
      <c r="R95">
        <v>20</v>
      </c>
      <c r="S95">
        <v>35.633699999999997</v>
      </c>
      <c r="T95" t="s">
        <v>46</v>
      </c>
      <c r="U95">
        <v>4.1657817954241452</v>
      </c>
      <c r="V95" t="s">
        <v>40</v>
      </c>
      <c r="W95" t="s">
        <v>48</v>
      </c>
      <c r="X95">
        <v>823.52380000000005</v>
      </c>
    </row>
    <row r="96" spans="1:24" x14ac:dyDescent="0.25">
      <c r="A96" t="s">
        <v>57</v>
      </c>
      <c r="B96" t="s">
        <v>148</v>
      </c>
      <c r="C96">
        <v>3.0377000000000001</v>
      </c>
      <c r="D96">
        <v>97</v>
      </c>
      <c r="E96">
        <v>987</v>
      </c>
      <c r="F96">
        <v>7888.3565466618729</v>
      </c>
      <c r="G96" t="s">
        <v>38</v>
      </c>
      <c r="H96">
        <v>77</v>
      </c>
      <c r="I96">
        <v>26</v>
      </c>
      <c r="J96">
        <v>72</v>
      </c>
      <c r="K96">
        <v>9</v>
      </c>
      <c r="L96" t="s">
        <v>27</v>
      </c>
      <c r="M96">
        <v>6.9429459420325808</v>
      </c>
      <c r="N96" t="s">
        <v>61</v>
      </c>
      <c r="O96" t="s">
        <v>50</v>
      </c>
      <c r="P96">
        <v>12</v>
      </c>
      <c r="Q96">
        <v>908</v>
      </c>
      <c r="R96">
        <v>14</v>
      </c>
      <c r="S96">
        <v>60.3874</v>
      </c>
      <c r="T96" t="s">
        <v>64</v>
      </c>
      <c r="U96">
        <v>1.4636074984727798</v>
      </c>
      <c r="V96" t="s">
        <v>47</v>
      </c>
      <c r="W96" t="s">
        <v>32</v>
      </c>
      <c r="X96">
        <v>846.6653</v>
      </c>
    </row>
    <row r="97" spans="1:24" x14ac:dyDescent="0.25">
      <c r="A97" t="s">
        <v>24</v>
      </c>
      <c r="B97" t="s">
        <v>149</v>
      </c>
      <c r="C97">
        <v>77.903899999999993</v>
      </c>
      <c r="D97">
        <v>65</v>
      </c>
      <c r="E97">
        <v>672</v>
      </c>
      <c r="F97">
        <v>7386.3639440486641</v>
      </c>
      <c r="G97" t="s">
        <v>38</v>
      </c>
      <c r="H97">
        <v>15</v>
      </c>
      <c r="I97">
        <v>14</v>
      </c>
      <c r="J97">
        <v>26</v>
      </c>
      <c r="K97">
        <v>9</v>
      </c>
      <c r="L97" t="s">
        <v>27</v>
      </c>
      <c r="M97">
        <v>8.6303388696027543</v>
      </c>
      <c r="N97" t="s">
        <v>52</v>
      </c>
      <c r="O97" t="s">
        <v>29</v>
      </c>
      <c r="P97">
        <v>18</v>
      </c>
      <c r="Q97">
        <v>450</v>
      </c>
      <c r="R97">
        <v>26</v>
      </c>
      <c r="S97">
        <v>58.890700000000002</v>
      </c>
      <c r="T97" t="s">
        <v>30</v>
      </c>
      <c r="U97">
        <v>1.2108821295850665</v>
      </c>
      <c r="V97" t="s">
        <v>40</v>
      </c>
      <c r="W97" t="s">
        <v>48</v>
      </c>
      <c r="X97">
        <v>778.86419999999998</v>
      </c>
    </row>
    <row r="98" spans="1:24" x14ac:dyDescent="0.25">
      <c r="A98" t="s">
        <v>57</v>
      </c>
      <c r="B98" t="s">
        <v>150</v>
      </c>
      <c r="C98">
        <v>24.423100000000002</v>
      </c>
      <c r="D98">
        <v>29</v>
      </c>
      <c r="E98">
        <v>324</v>
      </c>
      <c r="F98">
        <v>7698.4247656321168</v>
      </c>
      <c r="G98" t="s">
        <v>26</v>
      </c>
      <c r="H98">
        <v>67</v>
      </c>
      <c r="I98">
        <v>2</v>
      </c>
      <c r="J98">
        <v>32</v>
      </c>
      <c r="K98">
        <v>3</v>
      </c>
      <c r="L98" t="s">
        <v>43</v>
      </c>
      <c r="M98">
        <v>5.3528780439968093</v>
      </c>
      <c r="N98" t="s">
        <v>28</v>
      </c>
      <c r="O98" t="s">
        <v>29</v>
      </c>
      <c r="P98">
        <v>28</v>
      </c>
      <c r="Q98">
        <v>648</v>
      </c>
      <c r="R98">
        <v>28</v>
      </c>
      <c r="S98">
        <v>17.803799999999999</v>
      </c>
      <c r="T98" t="s">
        <v>30</v>
      </c>
      <c r="U98">
        <v>3.8720476814821332</v>
      </c>
      <c r="V98" t="s">
        <v>31</v>
      </c>
      <c r="W98" t="s">
        <v>48</v>
      </c>
      <c r="X98">
        <v>188.74209999999999</v>
      </c>
    </row>
    <row r="99" spans="1:24" x14ac:dyDescent="0.25">
      <c r="A99" t="s">
        <v>24</v>
      </c>
      <c r="B99" t="s">
        <v>151</v>
      </c>
      <c r="C99">
        <v>3.5261</v>
      </c>
      <c r="D99">
        <v>56</v>
      </c>
      <c r="E99">
        <v>62</v>
      </c>
      <c r="F99">
        <v>4370.9165799845359</v>
      </c>
      <c r="G99" t="s">
        <v>55</v>
      </c>
      <c r="H99">
        <v>46</v>
      </c>
      <c r="I99">
        <v>19</v>
      </c>
      <c r="J99">
        <v>4</v>
      </c>
      <c r="K99">
        <v>9</v>
      </c>
      <c r="L99" t="s">
        <v>36</v>
      </c>
      <c r="M99">
        <v>7.9048456112096748</v>
      </c>
      <c r="N99" t="s">
        <v>52</v>
      </c>
      <c r="O99" t="s">
        <v>29</v>
      </c>
      <c r="P99">
        <v>10</v>
      </c>
      <c r="Q99">
        <v>535</v>
      </c>
      <c r="R99">
        <v>13</v>
      </c>
      <c r="S99">
        <v>65.765199999999993</v>
      </c>
      <c r="T99" t="s">
        <v>46</v>
      </c>
      <c r="U99">
        <v>3.3762378347179811</v>
      </c>
      <c r="V99" t="s">
        <v>31</v>
      </c>
      <c r="W99" t="s">
        <v>48</v>
      </c>
      <c r="X99">
        <v>540.13239999999996</v>
      </c>
    </row>
    <row r="100" spans="1:24" x14ac:dyDescent="0.25">
      <c r="A100" t="s">
        <v>33</v>
      </c>
      <c r="B100" t="s">
        <v>152</v>
      </c>
      <c r="C100">
        <v>19.7546</v>
      </c>
      <c r="D100">
        <v>43</v>
      </c>
      <c r="E100">
        <v>913</v>
      </c>
      <c r="F100">
        <v>8525.9525596835265</v>
      </c>
      <c r="G100" t="s">
        <v>35</v>
      </c>
      <c r="H100">
        <v>53</v>
      </c>
      <c r="I100">
        <v>1</v>
      </c>
      <c r="J100">
        <v>27</v>
      </c>
      <c r="K100">
        <v>7</v>
      </c>
      <c r="L100" t="s">
        <v>27</v>
      </c>
      <c r="M100">
        <v>1.4098010951380731</v>
      </c>
      <c r="N100" t="s">
        <v>44</v>
      </c>
      <c r="O100" t="s">
        <v>62</v>
      </c>
      <c r="P100">
        <v>28</v>
      </c>
      <c r="Q100">
        <v>581</v>
      </c>
      <c r="R100">
        <v>9</v>
      </c>
      <c r="S100">
        <v>5.6047000000000002</v>
      </c>
      <c r="T100" t="s">
        <v>30</v>
      </c>
      <c r="U100">
        <v>2.9081221693512611</v>
      </c>
      <c r="V100" t="s">
        <v>47</v>
      </c>
      <c r="W100" t="s">
        <v>48</v>
      </c>
      <c r="X100">
        <v>882.19889999999998</v>
      </c>
    </row>
    <row r="101" spans="1:24" x14ac:dyDescent="0.25">
      <c r="A101" t="s">
        <v>24</v>
      </c>
      <c r="B101" t="s">
        <v>153</v>
      </c>
      <c r="C101">
        <v>68.517799999999994</v>
      </c>
      <c r="D101">
        <v>17</v>
      </c>
      <c r="E101">
        <v>627</v>
      </c>
      <c r="F101">
        <v>9185.1858291817043</v>
      </c>
      <c r="G101" t="s">
        <v>38</v>
      </c>
      <c r="H101">
        <v>55</v>
      </c>
      <c r="I101">
        <v>8</v>
      </c>
      <c r="J101">
        <v>59</v>
      </c>
      <c r="K101">
        <v>6</v>
      </c>
      <c r="L101" t="s">
        <v>27</v>
      </c>
      <c r="M101">
        <v>1.3110237561206226</v>
      </c>
      <c r="N101" t="s">
        <v>61</v>
      </c>
      <c r="O101" t="s">
        <v>62</v>
      </c>
      <c r="P101">
        <v>29</v>
      </c>
      <c r="Q101">
        <v>921</v>
      </c>
      <c r="R101">
        <v>2</v>
      </c>
      <c r="S101">
        <v>38.072899999999997</v>
      </c>
      <c r="T101" t="s">
        <v>46</v>
      </c>
      <c r="U101">
        <v>0.34602729070550342</v>
      </c>
      <c r="V101" t="s">
        <v>47</v>
      </c>
      <c r="W101" t="s">
        <v>32</v>
      </c>
      <c r="X101">
        <v>210.74299999999999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046D-C135-4A9C-97B6-B08EEAA8027B}">
  <dimension ref="A1:AF101"/>
  <sheetViews>
    <sheetView topLeftCell="M1" zoomScale="70" zoomScaleNormal="70" workbookViewId="0">
      <selection activeCell="AC29" sqref="AC29"/>
    </sheetView>
  </sheetViews>
  <sheetFormatPr defaultRowHeight="15" x14ac:dyDescent="0.25"/>
  <cols>
    <col min="4" max="4" width="13.28515625" bestFit="1" customWidth="1"/>
    <col min="5" max="5" width="25.5703125" bestFit="1" customWidth="1"/>
    <col min="6" max="6" width="21" bestFit="1" customWidth="1"/>
    <col min="7" max="7" width="25.140625" bestFit="1" customWidth="1"/>
    <col min="8" max="8" width="11.5703125" bestFit="1" customWidth="1"/>
    <col min="11" max="13" width="11" bestFit="1" customWidth="1"/>
    <col min="14" max="15" width="10.7109375" bestFit="1" customWidth="1"/>
    <col min="16" max="16" width="7.42578125" bestFit="1" customWidth="1"/>
    <col min="17" max="17" width="10.85546875" bestFit="1" customWidth="1"/>
    <col min="18" max="19" width="11" bestFit="1" customWidth="1"/>
    <col min="20" max="20" width="11.42578125" bestFit="1" customWidth="1"/>
    <col min="21" max="21" width="12" bestFit="1" customWidth="1"/>
    <col min="22" max="22" width="11" bestFit="1" customWidth="1"/>
    <col min="23" max="23" width="9.42578125" bestFit="1" customWidth="1"/>
    <col min="24" max="24" width="11.42578125" bestFit="1" customWidth="1"/>
    <col min="25" max="25" width="12.42578125" bestFit="1" customWidth="1"/>
    <col min="26" max="26" width="9.7109375" bestFit="1" customWidth="1"/>
    <col min="27" max="27" width="13.140625" bestFit="1" customWidth="1"/>
    <col min="28" max="28" width="26.7109375" bestFit="1" customWidth="1"/>
    <col min="29" max="29" width="34.5703125" bestFit="1" customWidth="1"/>
    <col min="30" max="30" width="28.140625" bestFit="1" customWidth="1"/>
    <col min="31" max="31" width="28.85546875" bestFit="1" customWidth="1"/>
    <col min="32" max="32" width="15.85546875" bestFit="1" customWidth="1"/>
  </cols>
  <sheetData>
    <row r="1" spans="1:32" s="2" customFormat="1" ht="4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164</v>
      </c>
      <c r="Z1" s="2" t="s">
        <v>169</v>
      </c>
      <c r="AA1" s="2" t="s">
        <v>214</v>
      </c>
    </row>
    <row r="2" spans="1:32" x14ac:dyDescent="0.25">
      <c r="A2" t="s">
        <v>24</v>
      </c>
      <c r="B2" t="s">
        <v>25</v>
      </c>
      <c r="C2" s="1">
        <v>69.808000000000007</v>
      </c>
      <c r="D2">
        <v>55</v>
      </c>
      <c r="E2">
        <v>802</v>
      </c>
      <c r="F2" s="1">
        <v>8661.9967923923832</v>
      </c>
      <c r="G2" t="s">
        <v>26</v>
      </c>
      <c r="H2">
        <v>58</v>
      </c>
      <c r="I2">
        <v>7</v>
      </c>
      <c r="J2">
        <v>96</v>
      </c>
      <c r="K2">
        <v>4</v>
      </c>
      <c r="L2" t="s">
        <v>27</v>
      </c>
      <c r="M2" s="1">
        <v>2.9565721394308069</v>
      </c>
      <c r="N2" t="s">
        <v>28</v>
      </c>
      <c r="O2" t="s">
        <v>29</v>
      </c>
      <c r="P2">
        <v>29</v>
      </c>
      <c r="Q2">
        <v>215</v>
      </c>
      <c r="R2">
        <v>29</v>
      </c>
      <c r="S2" s="1">
        <v>46.279899999999998</v>
      </c>
      <c r="T2" t="s">
        <v>30</v>
      </c>
      <c r="U2">
        <v>0.22641036084992516</v>
      </c>
      <c r="V2" t="s">
        <v>31</v>
      </c>
      <c r="W2" t="s">
        <v>32</v>
      </c>
      <c r="X2" s="1">
        <v>187.75210000000001</v>
      </c>
      <c r="Y2" s="1">
        <f>supply_chain_data3[Revenue generated]-(supply_chain_data3[Manufacturing costs]+supply_chain_data3[Shipping costs]+supply_chain_data3[Costs])</f>
        <v>8425.008220252952</v>
      </c>
      <c r="Z2" s="5">
        <f>supply_chain_data3[Stock levels]+supply_chain_data3[Production volumes]+supply_chain_data3[Order quantities]-supply_chain_data3[Number of products sold]</f>
        <v>-433</v>
      </c>
      <c r="AA2">
        <f>supply_chain_data3[Production volumes]*supply_chain_data3[Defect rates]</f>
        <v>48.678227582733911</v>
      </c>
    </row>
    <row r="3" spans="1:32" x14ac:dyDescent="0.25">
      <c r="A3" t="s">
        <v>33</v>
      </c>
      <c r="B3" t="s">
        <v>34</v>
      </c>
      <c r="C3" s="1">
        <v>14.843500000000001</v>
      </c>
      <c r="D3">
        <v>95</v>
      </c>
      <c r="E3">
        <v>736</v>
      </c>
      <c r="F3" s="1">
        <v>7460.9000654458487</v>
      </c>
      <c r="G3" t="s">
        <v>35</v>
      </c>
      <c r="H3">
        <v>53</v>
      </c>
      <c r="I3">
        <v>30</v>
      </c>
      <c r="J3">
        <v>37</v>
      </c>
      <c r="K3">
        <v>2</v>
      </c>
      <c r="L3" t="s">
        <v>36</v>
      </c>
      <c r="M3" s="1">
        <v>9.7165747714313095</v>
      </c>
      <c r="N3" t="s">
        <v>28</v>
      </c>
      <c r="O3" t="s">
        <v>29</v>
      </c>
      <c r="P3">
        <v>23</v>
      </c>
      <c r="Q3">
        <v>517</v>
      </c>
      <c r="R3">
        <v>30</v>
      </c>
      <c r="S3" s="1">
        <v>33.616799999999998</v>
      </c>
      <c r="T3" t="s">
        <v>30</v>
      </c>
      <c r="U3">
        <v>4.8540680263887062</v>
      </c>
      <c r="V3" t="s">
        <v>31</v>
      </c>
      <c r="W3" t="s">
        <v>32</v>
      </c>
      <c r="X3" s="1">
        <v>503.06560000000002</v>
      </c>
      <c r="Y3" s="1">
        <f>supply_chain_data3[Revenue generated]-(supply_chain_data3[Manufacturing costs]+supply_chain_data3[Shipping costs]+supply_chain_data3[Costs])</f>
        <v>6914.5010906744174</v>
      </c>
      <c r="Z3" s="5">
        <f>supply_chain_data3[Stock levels]+supply_chain_data3[Production volumes]+supply_chain_data3[Order quantities]-supply_chain_data3[Number of products sold]</f>
        <v>-129</v>
      </c>
      <c r="AA3">
        <f>supply_chain_data3[Production volumes]*supply_chain_data3[Defect rates]</f>
        <v>2509.5531696429612</v>
      </c>
      <c r="AC3" s="38" t="s">
        <v>178</v>
      </c>
      <c r="AD3" s="39"/>
      <c r="AE3" s="39"/>
      <c r="AF3" s="40"/>
    </row>
    <row r="4" spans="1:32" x14ac:dyDescent="0.25">
      <c r="A4" t="s">
        <v>24</v>
      </c>
      <c r="B4" t="s">
        <v>37</v>
      </c>
      <c r="C4" s="1">
        <v>11.319699999999999</v>
      </c>
      <c r="D4">
        <v>34</v>
      </c>
      <c r="E4">
        <v>8</v>
      </c>
      <c r="F4" s="1">
        <v>9577.7496258687297</v>
      </c>
      <c r="G4" t="s">
        <v>38</v>
      </c>
      <c r="H4">
        <v>1</v>
      </c>
      <c r="I4">
        <v>10</v>
      </c>
      <c r="J4">
        <v>88</v>
      </c>
      <c r="K4">
        <v>2</v>
      </c>
      <c r="L4" t="s">
        <v>27</v>
      </c>
      <c r="M4" s="1">
        <v>8.0544792617321548</v>
      </c>
      <c r="N4" t="s">
        <v>39</v>
      </c>
      <c r="O4" t="s">
        <v>29</v>
      </c>
      <c r="P4">
        <v>12</v>
      </c>
      <c r="Q4">
        <v>971</v>
      </c>
      <c r="R4">
        <v>27</v>
      </c>
      <c r="S4" s="1">
        <v>30.687999999999999</v>
      </c>
      <c r="T4" t="s">
        <v>30</v>
      </c>
      <c r="U4">
        <v>4.580592619199229</v>
      </c>
      <c r="V4" t="s">
        <v>40</v>
      </c>
      <c r="W4" t="s">
        <v>41</v>
      </c>
      <c r="X4" s="1">
        <v>141.9203</v>
      </c>
      <c r="Y4" s="1">
        <f>supply_chain_data3[Revenue generated]-(supply_chain_data3[Manufacturing costs]+supply_chain_data3[Shipping costs]+supply_chain_data3[Costs])</f>
        <v>9397.0868466069969</v>
      </c>
      <c r="Z4" s="5">
        <f>supply_chain_data3[Stock levels]+supply_chain_data3[Production volumes]+supply_chain_data3[Order quantities]-supply_chain_data3[Number of products sold]</f>
        <v>1052</v>
      </c>
      <c r="AA4">
        <f>supply_chain_data3[Production volumes]*supply_chain_data3[Defect rates]</f>
        <v>4447.7554332424515</v>
      </c>
      <c r="AC4" s="36" t="s">
        <v>177</v>
      </c>
      <c r="AD4" s="36" t="s">
        <v>179</v>
      </c>
      <c r="AE4" s="36" t="s">
        <v>180</v>
      </c>
      <c r="AF4" s="36" t="s">
        <v>183</v>
      </c>
    </row>
    <row r="5" spans="1:32" x14ac:dyDescent="0.25">
      <c r="A5" t="s">
        <v>33</v>
      </c>
      <c r="B5" t="s">
        <v>42</v>
      </c>
      <c r="C5" s="1">
        <v>61.1633</v>
      </c>
      <c r="D5">
        <v>68</v>
      </c>
      <c r="E5">
        <v>83</v>
      </c>
      <c r="F5" s="1">
        <v>7766.8364256852328</v>
      </c>
      <c r="G5" t="s">
        <v>26</v>
      </c>
      <c r="H5">
        <v>23</v>
      </c>
      <c r="I5">
        <v>13</v>
      </c>
      <c r="J5">
        <v>59</v>
      </c>
      <c r="K5">
        <v>6</v>
      </c>
      <c r="L5" t="s">
        <v>43</v>
      </c>
      <c r="M5" s="1">
        <v>1.7295685635434288</v>
      </c>
      <c r="N5" t="s">
        <v>44</v>
      </c>
      <c r="O5" t="s">
        <v>45</v>
      </c>
      <c r="P5">
        <v>24</v>
      </c>
      <c r="Q5">
        <v>937</v>
      </c>
      <c r="R5">
        <v>18</v>
      </c>
      <c r="S5" s="1">
        <v>35.624699999999997</v>
      </c>
      <c r="T5" t="s">
        <v>46</v>
      </c>
      <c r="U5">
        <v>4.7466486206477496</v>
      </c>
      <c r="V5" t="s">
        <v>47</v>
      </c>
      <c r="W5" t="s">
        <v>48</v>
      </c>
      <c r="X5" s="1">
        <v>254.77619999999999</v>
      </c>
      <c r="Y5" s="1">
        <f>supply_chain_data3[Revenue generated]-(supply_chain_data3[Manufacturing costs]+supply_chain_data3[Shipping costs]+supply_chain_data3[Costs])</f>
        <v>7474.7059571216896</v>
      </c>
      <c r="Z5" s="5">
        <f>supply_chain_data3[Stock levels]+supply_chain_data3[Production volumes]+supply_chain_data3[Order quantities]-supply_chain_data3[Number of products sold]</f>
        <v>936</v>
      </c>
      <c r="AA5">
        <f>supply_chain_data3[Production volumes]*supply_chain_data3[Defect rates]</f>
        <v>4447.6097575469412</v>
      </c>
      <c r="AC5" s="29">
        <f>SUM(supply_chain_data3[Revenue generated])</f>
        <v>577604.81873800862</v>
      </c>
      <c r="AD5" s="31">
        <f>AVERAGE(supply_chain_data3[Shipping times])</f>
        <v>5.75</v>
      </c>
      <c r="AE5" s="33">
        <f>SUM(supply_chain_data3[Defective Units]) / SUM(supply_chain_data3[Production volumes])</f>
        <v>2.3568128883977755</v>
      </c>
      <c r="AF5" s="34">
        <f>SUM(supply_chain_data3[Number of products sold]) / (SUM(supply_chain_data3[Number of products sold])+ ABS(SUM(supply_chain_data3[Current Inventory Count])))</f>
        <v>0.69339530406269267</v>
      </c>
    </row>
    <row r="6" spans="1:32" ht="18" customHeight="1" x14ac:dyDescent="0.25">
      <c r="A6" t="s">
        <v>33</v>
      </c>
      <c r="B6" t="s">
        <v>49</v>
      </c>
      <c r="C6" s="1">
        <v>4.8055000000000003</v>
      </c>
      <c r="D6">
        <v>26</v>
      </c>
      <c r="E6">
        <v>871</v>
      </c>
      <c r="F6" s="1">
        <v>2686.5051515674468</v>
      </c>
      <c r="G6" t="s">
        <v>26</v>
      </c>
      <c r="H6">
        <v>5</v>
      </c>
      <c r="I6">
        <v>3</v>
      </c>
      <c r="J6">
        <v>56</v>
      </c>
      <c r="K6">
        <v>8</v>
      </c>
      <c r="L6" t="s">
        <v>36</v>
      </c>
      <c r="M6" s="1">
        <v>3.8905479158706715</v>
      </c>
      <c r="N6" t="s">
        <v>39</v>
      </c>
      <c r="O6" t="s">
        <v>50</v>
      </c>
      <c r="P6">
        <v>5</v>
      </c>
      <c r="Q6">
        <v>414</v>
      </c>
      <c r="R6">
        <v>3</v>
      </c>
      <c r="S6" s="1">
        <v>92.065200000000004</v>
      </c>
      <c r="T6" t="s">
        <v>46</v>
      </c>
      <c r="U6">
        <v>3.1455795228330019</v>
      </c>
      <c r="V6" t="s">
        <v>40</v>
      </c>
      <c r="W6" t="s">
        <v>48</v>
      </c>
      <c r="X6" s="1">
        <v>923.44060000000002</v>
      </c>
      <c r="Y6" s="1">
        <f>supply_chain_data3[Revenue generated]-(supply_chain_data3[Manufacturing costs]+supply_chain_data3[Shipping costs]+supply_chain_data3[Costs])</f>
        <v>1667.1088036515762</v>
      </c>
      <c r="Z6" s="5">
        <f>supply_chain_data3[Stock levels]+supply_chain_data3[Production volumes]+supply_chain_data3[Order quantities]-supply_chain_data3[Number of products sold]</f>
        <v>-396</v>
      </c>
      <c r="AA6">
        <f>supply_chain_data3[Production volumes]*supply_chain_data3[Defect rates]</f>
        <v>1302.2699224528628</v>
      </c>
      <c r="AC6" s="30">
        <f>supply_chain_data3[Profit]/supply_chain_data3[Revenue generated]</f>
        <v>0.62054926739258187</v>
      </c>
      <c r="AD6" s="30">
        <f>SUM(supply_chain_data3[Availability])/SUM(supply_chain_data3[Number of products sold])</f>
        <v>0.10499143148441398</v>
      </c>
      <c r="AE6" s="30">
        <f>COUNTIF(supply_chain_data3[Inspection results],"Pass") / COUNTA(supply_chain_data3[Inspection results])</f>
        <v>0.23</v>
      </c>
      <c r="AF6" s="30">
        <f>SUMPRODUCT(--(supply_chain_data3[Shipping costs]&lt;=supply_chain_data3[Lead time])) / COUNTA(supply_chain_data3[Lead time])</f>
        <v>0.87</v>
      </c>
    </row>
    <row r="7" spans="1:32" x14ac:dyDescent="0.25">
      <c r="A7" t="s">
        <v>24</v>
      </c>
      <c r="B7" t="s">
        <v>51</v>
      </c>
      <c r="C7" s="1">
        <v>1.7</v>
      </c>
      <c r="D7">
        <v>87</v>
      </c>
      <c r="E7">
        <v>147</v>
      </c>
      <c r="F7" s="1">
        <v>2828.3487459757589</v>
      </c>
      <c r="G7" t="s">
        <v>26</v>
      </c>
      <c r="H7">
        <v>90</v>
      </c>
      <c r="I7">
        <v>27</v>
      </c>
      <c r="J7">
        <v>66</v>
      </c>
      <c r="K7">
        <v>3</v>
      </c>
      <c r="L7" t="s">
        <v>27</v>
      </c>
      <c r="M7" s="1">
        <v>4.4440988643822932</v>
      </c>
      <c r="N7" t="s">
        <v>52</v>
      </c>
      <c r="O7" t="s">
        <v>53</v>
      </c>
      <c r="P7">
        <v>10</v>
      </c>
      <c r="Q7">
        <v>104</v>
      </c>
      <c r="R7">
        <v>17</v>
      </c>
      <c r="S7" s="1">
        <v>56.766500000000001</v>
      </c>
      <c r="T7" t="s">
        <v>46</v>
      </c>
      <c r="U7">
        <v>2.7791935115711617</v>
      </c>
      <c r="V7" t="s">
        <v>31</v>
      </c>
      <c r="W7" t="s">
        <v>48</v>
      </c>
      <c r="X7" s="1">
        <v>235.46119999999999</v>
      </c>
      <c r="Y7" s="1">
        <f>supply_chain_data3[Revenue generated]-(supply_chain_data3[Manufacturing costs]+supply_chain_data3[Shipping costs]+supply_chain_data3[Costs])</f>
        <v>2531.6769471113766</v>
      </c>
      <c r="Z7" s="5">
        <f>supply_chain_data3[Stock levels]+supply_chain_data3[Production volumes]+supply_chain_data3[Order quantities]-supply_chain_data3[Number of products sold]</f>
        <v>113</v>
      </c>
      <c r="AA7">
        <f>supply_chain_data3[Production volumes]*supply_chain_data3[Defect rates]</f>
        <v>289.03612520340084</v>
      </c>
      <c r="AC7" s="29">
        <f>SUM(supply_chain_data3[Revenue generated])/SUM(supply_chain_data3[Number of products sold])</f>
        <v>12.529660485867559</v>
      </c>
      <c r="AD7" s="31">
        <f>AVERAGE(supply_chain_data3[Order quantities])</f>
        <v>49.22</v>
      </c>
      <c r="AE7" s="29">
        <f>SUM(supply_chain_data3[Manufacturing costs])/SUM(supply_chain_data3[Production volumes])</f>
        <v>8.3239465342349953E-2</v>
      </c>
      <c r="AF7" s="31"/>
    </row>
    <row r="8" spans="1:32" x14ac:dyDescent="0.25">
      <c r="A8" t="s">
        <v>33</v>
      </c>
      <c r="B8" t="s">
        <v>54</v>
      </c>
      <c r="C8" s="1">
        <v>4.0782999999999996</v>
      </c>
      <c r="D8">
        <v>48</v>
      </c>
      <c r="E8">
        <v>65</v>
      </c>
      <c r="F8" s="1">
        <v>7823.4765595317367</v>
      </c>
      <c r="G8" t="s">
        <v>55</v>
      </c>
      <c r="H8">
        <v>11</v>
      </c>
      <c r="I8">
        <v>15</v>
      </c>
      <c r="J8">
        <v>58</v>
      </c>
      <c r="K8">
        <v>8</v>
      </c>
      <c r="L8" t="s">
        <v>43</v>
      </c>
      <c r="M8" s="1">
        <v>3.8807633029520034</v>
      </c>
      <c r="N8" t="s">
        <v>28</v>
      </c>
      <c r="O8" t="s">
        <v>45</v>
      </c>
      <c r="P8">
        <v>14</v>
      </c>
      <c r="Q8">
        <v>314</v>
      </c>
      <c r="R8">
        <v>24</v>
      </c>
      <c r="S8" s="1">
        <v>1.0851</v>
      </c>
      <c r="T8" t="s">
        <v>30</v>
      </c>
      <c r="U8">
        <v>1.0009106193041357</v>
      </c>
      <c r="V8" t="s">
        <v>56</v>
      </c>
      <c r="W8" t="s">
        <v>48</v>
      </c>
      <c r="X8" s="1">
        <v>134.3691</v>
      </c>
      <c r="Y8" s="1">
        <f>supply_chain_data3[Revenue generated]-(supply_chain_data3[Manufacturing costs]+supply_chain_data3[Shipping costs]+supply_chain_data3[Costs])</f>
        <v>7684.1415962287847</v>
      </c>
      <c r="Z8" s="5">
        <f>supply_chain_data3[Stock levels]+supply_chain_data3[Production volumes]+supply_chain_data3[Order quantities]-supply_chain_data3[Number of products sold]</f>
        <v>318</v>
      </c>
      <c r="AA8">
        <f>supply_chain_data3[Production volumes]*supply_chain_data3[Defect rates]</f>
        <v>314.28593446149864</v>
      </c>
      <c r="AC8" s="31">
        <f>MAX(supply_chain_data3[Profit])</f>
        <v>9397.0868466069969</v>
      </c>
      <c r="AD8" s="31">
        <f>AVERAGE(supply_chain_data3[Lead time])</f>
        <v>17.079999999999998</v>
      </c>
      <c r="AE8" s="31">
        <f>SUM(supply_chain_data3[Manufacturing lead time])/SUM(supply_chain_data3[Production volumes])</f>
        <v>2.6010848126232743E-2</v>
      </c>
      <c r="AF8" s="31"/>
    </row>
    <row r="9" spans="1:32" x14ac:dyDescent="0.25">
      <c r="A9" t="s">
        <v>57</v>
      </c>
      <c r="B9" t="s">
        <v>58</v>
      </c>
      <c r="C9" s="1">
        <v>42.958399999999997</v>
      </c>
      <c r="D9">
        <v>59</v>
      </c>
      <c r="E9">
        <v>426</v>
      </c>
      <c r="F9" s="1">
        <v>8496.1038130898378</v>
      </c>
      <c r="G9" t="s">
        <v>35</v>
      </c>
      <c r="H9">
        <v>93</v>
      </c>
      <c r="I9">
        <v>17</v>
      </c>
      <c r="J9">
        <v>11</v>
      </c>
      <c r="K9">
        <v>1</v>
      </c>
      <c r="L9" t="s">
        <v>27</v>
      </c>
      <c r="M9" s="1">
        <v>2.3483387844177805</v>
      </c>
      <c r="N9" t="s">
        <v>52</v>
      </c>
      <c r="O9" t="s">
        <v>53</v>
      </c>
      <c r="P9">
        <v>22</v>
      </c>
      <c r="Q9">
        <v>564</v>
      </c>
      <c r="R9">
        <v>1</v>
      </c>
      <c r="S9" s="1">
        <v>99.466099999999997</v>
      </c>
      <c r="T9" t="s">
        <v>46</v>
      </c>
      <c r="U9">
        <v>0.39817718685065062</v>
      </c>
      <c r="V9" t="s">
        <v>31</v>
      </c>
      <c r="W9" t="s">
        <v>41</v>
      </c>
      <c r="X9" s="1">
        <v>802.05629999999996</v>
      </c>
      <c r="Y9" s="1">
        <f>supply_chain_data3[Revenue generated]-(supply_chain_data3[Manufacturing costs]+supply_chain_data3[Shipping costs]+supply_chain_data3[Costs])</f>
        <v>7592.2330743054199</v>
      </c>
      <c r="Z9" s="5">
        <f>supply_chain_data3[Stock levels]+supply_chain_data3[Production volumes]+supply_chain_data3[Order quantities]-supply_chain_data3[Number of products sold]</f>
        <v>242</v>
      </c>
      <c r="AA9">
        <f>supply_chain_data3[Production volumes]*supply_chain_data3[Defect rates]</f>
        <v>224.57193338376695</v>
      </c>
      <c r="AC9" s="32" t="str">
        <f>INDEX(supply_chain_data3[Location],MATCH(MAX(supply_chain_data3[Profit]),AC8,0))</f>
        <v>Mumbai</v>
      </c>
    </row>
    <row r="10" spans="1:32" x14ac:dyDescent="0.25">
      <c r="A10" t="s">
        <v>57</v>
      </c>
      <c r="B10" t="s">
        <v>59</v>
      </c>
      <c r="C10" s="1">
        <v>68.717600000000004</v>
      </c>
      <c r="D10">
        <v>78</v>
      </c>
      <c r="E10">
        <v>150</v>
      </c>
      <c r="F10" s="1">
        <v>7517.363210631127</v>
      </c>
      <c r="G10" t="s">
        <v>35</v>
      </c>
      <c r="H10">
        <v>5</v>
      </c>
      <c r="I10">
        <v>10</v>
      </c>
      <c r="J10">
        <v>15</v>
      </c>
      <c r="K10">
        <v>7</v>
      </c>
      <c r="L10" t="s">
        <v>43</v>
      </c>
      <c r="M10" s="1">
        <v>3.4047338570830266</v>
      </c>
      <c r="N10" t="s">
        <v>52</v>
      </c>
      <c r="O10" t="s">
        <v>29</v>
      </c>
      <c r="P10">
        <v>13</v>
      </c>
      <c r="Q10">
        <v>769</v>
      </c>
      <c r="R10">
        <v>8</v>
      </c>
      <c r="S10" s="1">
        <v>11.423</v>
      </c>
      <c r="T10" t="s">
        <v>30</v>
      </c>
      <c r="U10">
        <v>2.7098626911099615</v>
      </c>
      <c r="V10" t="s">
        <v>56</v>
      </c>
      <c r="W10" t="s">
        <v>32</v>
      </c>
      <c r="X10" s="1">
        <v>505.55709999999999</v>
      </c>
      <c r="Y10" s="1">
        <f>supply_chain_data3[Revenue generated]-(supply_chain_data3[Manufacturing costs]+supply_chain_data3[Shipping costs]+supply_chain_data3[Costs])</f>
        <v>6996.9783767740437</v>
      </c>
      <c r="Z10" s="5">
        <f>supply_chain_data3[Stock levels]+supply_chain_data3[Production volumes]+supply_chain_data3[Order quantities]-supply_chain_data3[Number of products sold]</f>
        <v>639</v>
      </c>
      <c r="AA10">
        <f>supply_chain_data3[Production volumes]*supply_chain_data3[Defect rates]</f>
        <v>2083.8844094635606</v>
      </c>
    </row>
    <row r="11" spans="1:32" x14ac:dyDescent="0.25">
      <c r="A11" t="s">
        <v>33</v>
      </c>
      <c r="B11" t="s">
        <v>60</v>
      </c>
      <c r="C11" s="1">
        <v>64.015699999999995</v>
      </c>
      <c r="D11">
        <v>35</v>
      </c>
      <c r="E11">
        <v>980</v>
      </c>
      <c r="F11" s="1">
        <v>4971.145987585558</v>
      </c>
      <c r="G11" t="s">
        <v>38</v>
      </c>
      <c r="H11">
        <v>14</v>
      </c>
      <c r="I11">
        <v>27</v>
      </c>
      <c r="J11">
        <v>83</v>
      </c>
      <c r="K11">
        <v>1</v>
      </c>
      <c r="L11" t="s">
        <v>36</v>
      </c>
      <c r="M11" s="1">
        <v>7.1666452910482157</v>
      </c>
      <c r="N11" t="s">
        <v>61</v>
      </c>
      <c r="O11" t="s">
        <v>62</v>
      </c>
      <c r="P11">
        <v>29</v>
      </c>
      <c r="Q11">
        <v>963</v>
      </c>
      <c r="R11">
        <v>23</v>
      </c>
      <c r="S11" s="1">
        <v>47.957599999999999</v>
      </c>
      <c r="T11" t="s">
        <v>30</v>
      </c>
      <c r="U11">
        <v>3.8446144787675851</v>
      </c>
      <c r="V11" t="s">
        <v>47</v>
      </c>
      <c r="W11" t="s">
        <v>32</v>
      </c>
      <c r="X11" s="1">
        <v>995.92949999999996</v>
      </c>
      <c r="Y11" s="1">
        <f>supply_chain_data3[Revenue generated]-(supply_chain_data3[Manufacturing costs]+supply_chain_data3[Shipping costs]+supply_chain_data3[Costs])</f>
        <v>3920.0922422945096</v>
      </c>
      <c r="Z11" s="5">
        <f>supply_chain_data3[Stock levels]+supply_chain_data3[Production volumes]+supply_chain_data3[Order quantities]-supply_chain_data3[Number of products sold]</f>
        <v>80</v>
      </c>
      <c r="AA11">
        <f>supply_chain_data3[Production volumes]*supply_chain_data3[Defect rates]</f>
        <v>3702.3637430531844</v>
      </c>
    </row>
    <row r="12" spans="1:32" x14ac:dyDescent="0.25">
      <c r="A12" t="s">
        <v>33</v>
      </c>
      <c r="B12" t="s">
        <v>63</v>
      </c>
      <c r="C12" s="1">
        <v>15.707800000000001</v>
      </c>
      <c r="D12">
        <v>11</v>
      </c>
      <c r="E12">
        <v>996</v>
      </c>
      <c r="F12" s="1">
        <v>2330.9658020919492</v>
      </c>
      <c r="G12" t="s">
        <v>26</v>
      </c>
      <c r="H12">
        <v>51</v>
      </c>
      <c r="I12">
        <v>13</v>
      </c>
      <c r="J12">
        <v>80</v>
      </c>
      <c r="K12">
        <v>2</v>
      </c>
      <c r="L12" t="s">
        <v>43</v>
      </c>
      <c r="M12" s="1">
        <v>8.6732112112786126</v>
      </c>
      <c r="N12" t="s">
        <v>44</v>
      </c>
      <c r="O12" t="s">
        <v>45</v>
      </c>
      <c r="P12">
        <v>18</v>
      </c>
      <c r="Q12">
        <v>830</v>
      </c>
      <c r="R12">
        <v>5</v>
      </c>
      <c r="S12" s="1">
        <v>96.5274</v>
      </c>
      <c r="T12" t="s">
        <v>64</v>
      </c>
      <c r="U12">
        <v>1.7273139283559424</v>
      </c>
      <c r="V12" t="s">
        <v>31</v>
      </c>
      <c r="W12" t="s">
        <v>32</v>
      </c>
      <c r="X12" s="1">
        <v>806.10320000000002</v>
      </c>
      <c r="Y12" s="1">
        <f>supply_chain_data3[Revenue generated]-(supply_chain_data3[Manufacturing costs]+supply_chain_data3[Shipping costs]+supply_chain_data3[Costs])</f>
        <v>1419.6619908806706</v>
      </c>
      <c r="Z12" s="5">
        <f>supply_chain_data3[Stock levels]+supply_chain_data3[Production volumes]+supply_chain_data3[Order quantities]-supply_chain_data3[Number of products sold]</f>
        <v>-35</v>
      </c>
      <c r="AA12">
        <f>supply_chain_data3[Production volumes]*supply_chain_data3[Defect rates]</f>
        <v>1433.6705605354323</v>
      </c>
    </row>
    <row r="13" spans="1:32" x14ac:dyDescent="0.25">
      <c r="A13" t="s">
        <v>33</v>
      </c>
      <c r="B13" t="s">
        <v>65</v>
      </c>
      <c r="C13" s="1">
        <v>90.635499999999993</v>
      </c>
      <c r="D13">
        <v>95</v>
      </c>
      <c r="E13">
        <v>960</v>
      </c>
      <c r="F13" s="1">
        <v>6099.944115581452</v>
      </c>
      <c r="G13" t="s">
        <v>35</v>
      </c>
      <c r="H13">
        <v>46</v>
      </c>
      <c r="I13">
        <v>23</v>
      </c>
      <c r="J13">
        <v>60</v>
      </c>
      <c r="K13">
        <v>1</v>
      </c>
      <c r="L13" t="s">
        <v>36</v>
      </c>
      <c r="M13" s="1">
        <v>4.5239431243166628</v>
      </c>
      <c r="N13" t="s">
        <v>61</v>
      </c>
      <c r="O13" t="s">
        <v>45</v>
      </c>
      <c r="P13">
        <v>28</v>
      </c>
      <c r="Q13">
        <v>362</v>
      </c>
      <c r="R13">
        <v>11</v>
      </c>
      <c r="S13" s="1">
        <v>27.592400000000001</v>
      </c>
      <c r="T13" t="s">
        <v>30</v>
      </c>
      <c r="U13">
        <v>2.1169821372994391E-2</v>
      </c>
      <c r="V13" t="s">
        <v>40</v>
      </c>
      <c r="W13" t="s">
        <v>48</v>
      </c>
      <c r="X13" s="1">
        <v>126.723</v>
      </c>
      <c r="Y13" s="1">
        <f>supply_chain_data3[Revenue generated]-(supply_chain_data3[Manufacturing costs]+supply_chain_data3[Shipping costs]+supply_chain_data3[Costs])</f>
        <v>5941.1047724571354</v>
      </c>
      <c r="Z13" s="5">
        <f>supply_chain_data3[Stock levels]+supply_chain_data3[Production volumes]+supply_chain_data3[Order quantities]-supply_chain_data3[Number of products sold]</f>
        <v>-492</v>
      </c>
      <c r="AA13">
        <f>supply_chain_data3[Production volumes]*supply_chain_data3[Defect rates]</f>
        <v>7.6634753370239697</v>
      </c>
    </row>
    <row r="14" spans="1:32" x14ac:dyDescent="0.25">
      <c r="A14" t="s">
        <v>24</v>
      </c>
      <c r="B14" t="s">
        <v>66</v>
      </c>
      <c r="C14" s="1">
        <v>71.213399999999993</v>
      </c>
      <c r="D14">
        <v>41</v>
      </c>
      <c r="E14">
        <v>336</v>
      </c>
      <c r="F14" s="1">
        <v>2873.7414460214413</v>
      </c>
      <c r="G14" t="s">
        <v>38</v>
      </c>
      <c r="H14">
        <v>100</v>
      </c>
      <c r="I14">
        <v>30</v>
      </c>
      <c r="J14">
        <v>85</v>
      </c>
      <c r="K14">
        <v>4</v>
      </c>
      <c r="L14" t="s">
        <v>36</v>
      </c>
      <c r="M14" s="1">
        <v>1.325274010184522</v>
      </c>
      <c r="N14" t="s">
        <v>52</v>
      </c>
      <c r="O14" t="s">
        <v>45</v>
      </c>
      <c r="P14">
        <v>3</v>
      </c>
      <c r="Q14">
        <v>563</v>
      </c>
      <c r="R14">
        <v>3</v>
      </c>
      <c r="S14" s="1">
        <v>32.321300000000001</v>
      </c>
      <c r="T14" t="s">
        <v>46</v>
      </c>
      <c r="U14">
        <v>2.1612537475559117</v>
      </c>
      <c r="V14" t="s">
        <v>31</v>
      </c>
      <c r="W14" t="s">
        <v>32</v>
      </c>
      <c r="X14" s="1">
        <v>402.96879999999999</v>
      </c>
      <c r="Y14" s="1">
        <f>supply_chain_data3[Revenue generated]-(supply_chain_data3[Manufacturing costs]+supply_chain_data3[Shipping costs]+supply_chain_data3[Costs])</f>
        <v>2437.1260720112568</v>
      </c>
      <c r="Z14" s="5">
        <f>supply_chain_data3[Stock levels]+supply_chain_data3[Production volumes]+supply_chain_data3[Order quantities]-supply_chain_data3[Number of products sold]</f>
        <v>412</v>
      </c>
      <c r="AA14">
        <f>supply_chain_data3[Production volumes]*supply_chain_data3[Defect rates]</f>
        <v>1216.7858598739783</v>
      </c>
      <c r="AC14" s="25" t="s">
        <v>209</v>
      </c>
    </row>
    <row r="15" spans="1:32" x14ac:dyDescent="0.25">
      <c r="A15" t="s">
        <v>33</v>
      </c>
      <c r="B15" t="s">
        <v>67</v>
      </c>
      <c r="C15" s="1">
        <v>16.160399999999999</v>
      </c>
      <c r="D15">
        <v>5</v>
      </c>
      <c r="E15">
        <v>249</v>
      </c>
      <c r="F15" s="1">
        <v>4052.7384162378667</v>
      </c>
      <c r="G15" t="s">
        <v>55</v>
      </c>
      <c r="H15">
        <v>80</v>
      </c>
      <c r="I15">
        <v>8</v>
      </c>
      <c r="J15">
        <v>48</v>
      </c>
      <c r="K15">
        <v>9</v>
      </c>
      <c r="L15" t="s">
        <v>36</v>
      </c>
      <c r="M15" s="1">
        <v>9.5372830611083383</v>
      </c>
      <c r="N15" t="s">
        <v>44</v>
      </c>
      <c r="O15" t="s">
        <v>53</v>
      </c>
      <c r="P15">
        <v>23</v>
      </c>
      <c r="Q15">
        <v>173</v>
      </c>
      <c r="R15">
        <v>10</v>
      </c>
      <c r="S15" s="1">
        <v>97.829099999999997</v>
      </c>
      <c r="T15" t="s">
        <v>30</v>
      </c>
      <c r="U15">
        <v>1.6310742300715386</v>
      </c>
      <c r="V15" t="s">
        <v>31</v>
      </c>
      <c r="W15" t="s">
        <v>32</v>
      </c>
      <c r="X15" s="1">
        <v>547.24099999999999</v>
      </c>
      <c r="Y15" s="1">
        <f>supply_chain_data3[Revenue generated]-(supply_chain_data3[Manufacturing costs]+supply_chain_data3[Shipping costs]+supply_chain_data3[Costs])</f>
        <v>3398.1310331767581</v>
      </c>
      <c r="Z15" s="5">
        <f>supply_chain_data3[Stock levels]+supply_chain_data3[Production volumes]+supply_chain_data3[Order quantities]-supply_chain_data3[Number of products sold]</f>
        <v>52</v>
      </c>
      <c r="AA15">
        <f>supply_chain_data3[Production volumes]*supply_chain_data3[Defect rates]</f>
        <v>282.17584180237617</v>
      </c>
      <c r="AC15" s="25" t="s">
        <v>208</v>
      </c>
      <c r="AD15" s="23" t="s">
        <v>207</v>
      </c>
      <c r="AE15" s="23" t="s">
        <v>210</v>
      </c>
      <c r="AF15" s="23" t="s">
        <v>211</v>
      </c>
    </row>
    <row r="16" spans="1:32" x14ac:dyDescent="0.25">
      <c r="A16" t="s">
        <v>33</v>
      </c>
      <c r="B16" t="s">
        <v>68</v>
      </c>
      <c r="C16" s="1">
        <v>99.171300000000002</v>
      </c>
      <c r="D16">
        <v>26</v>
      </c>
      <c r="E16">
        <v>562</v>
      </c>
      <c r="F16" s="1">
        <v>8653.5709264698016</v>
      </c>
      <c r="G16" t="s">
        <v>26</v>
      </c>
      <c r="H16">
        <v>54</v>
      </c>
      <c r="I16">
        <v>29</v>
      </c>
      <c r="J16">
        <v>78</v>
      </c>
      <c r="K16">
        <v>5</v>
      </c>
      <c r="L16" t="s">
        <v>27</v>
      </c>
      <c r="M16" s="1">
        <v>2.0397701894493316</v>
      </c>
      <c r="N16" t="s">
        <v>39</v>
      </c>
      <c r="O16" t="s">
        <v>45</v>
      </c>
      <c r="P16">
        <v>25</v>
      </c>
      <c r="Q16">
        <v>558</v>
      </c>
      <c r="R16">
        <v>14</v>
      </c>
      <c r="S16" s="1">
        <v>5.7914000000000003</v>
      </c>
      <c r="T16" t="s">
        <v>30</v>
      </c>
      <c r="U16">
        <v>0.10068285156509371</v>
      </c>
      <c r="V16" t="s">
        <v>40</v>
      </c>
      <c r="W16" t="s">
        <v>32</v>
      </c>
      <c r="X16" s="1">
        <v>929.23530000000005</v>
      </c>
      <c r="Y16" s="1">
        <f>supply_chain_data3[Revenue generated]-(supply_chain_data3[Manufacturing costs]+supply_chain_data3[Shipping costs]+supply_chain_data3[Costs])</f>
        <v>7716.5044562803523</v>
      </c>
      <c r="Z16" s="5">
        <f>supply_chain_data3[Stock levels]+supply_chain_data3[Production volumes]+supply_chain_data3[Order quantities]-supply_chain_data3[Number of products sold]</f>
        <v>128</v>
      </c>
      <c r="AA16">
        <f>supply_chain_data3[Production volumes]*supply_chain_data3[Defect rates]</f>
        <v>56.181031173322289</v>
      </c>
      <c r="AC16" s="26">
        <f>(AVERAGE(supply_chain_data3[Shipping times]))-Table4[[#This Row],[sla_shipping_time]]</f>
        <v>-1.25</v>
      </c>
      <c r="AD16" s="24">
        <v>7</v>
      </c>
      <c r="AE16">
        <v>15</v>
      </c>
      <c r="AF16">
        <v>50</v>
      </c>
    </row>
    <row r="17" spans="1:31" x14ac:dyDescent="0.25">
      <c r="A17" t="s">
        <v>33</v>
      </c>
      <c r="B17" t="s">
        <v>69</v>
      </c>
      <c r="C17" s="1">
        <v>36.989199999999997</v>
      </c>
      <c r="D17">
        <v>94</v>
      </c>
      <c r="E17">
        <v>469</v>
      </c>
      <c r="F17" s="1">
        <v>5442.0867853976733</v>
      </c>
      <c r="G17" t="s">
        <v>26</v>
      </c>
      <c r="H17">
        <v>9</v>
      </c>
      <c r="I17">
        <v>8</v>
      </c>
      <c r="J17">
        <v>69</v>
      </c>
      <c r="K17">
        <v>7</v>
      </c>
      <c r="L17" t="s">
        <v>27</v>
      </c>
      <c r="M17" s="1">
        <v>2.4220397232752044</v>
      </c>
      <c r="N17" t="s">
        <v>39</v>
      </c>
      <c r="O17" t="s">
        <v>53</v>
      </c>
      <c r="P17">
        <v>14</v>
      </c>
      <c r="Q17">
        <v>580</v>
      </c>
      <c r="R17">
        <v>7</v>
      </c>
      <c r="S17" s="1">
        <v>97.121300000000005</v>
      </c>
      <c r="T17" t="s">
        <v>64</v>
      </c>
      <c r="U17">
        <v>2.2644057611985491</v>
      </c>
      <c r="V17" t="s">
        <v>56</v>
      </c>
      <c r="W17" t="s">
        <v>32</v>
      </c>
      <c r="X17" s="1">
        <v>127.8618</v>
      </c>
      <c r="Y17" s="1">
        <f>supply_chain_data3[Revenue generated]-(supply_chain_data3[Manufacturing costs]+supply_chain_data3[Shipping costs]+supply_chain_data3[Costs])</f>
        <v>5214.6816456743982</v>
      </c>
      <c r="Z17" s="5">
        <f>supply_chain_data3[Stock levels]+supply_chain_data3[Production volumes]+supply_chain_data3[Order quantities]-supply_chain_data3[Number of products sold]</f>
        <v>189</v>
      </c>
      <c r="AA17">
        <f>supply_chain_data3[Production volumes]*supply_chain_data3[Defect rates]</f>
        <v>1313.3553414951584</v>
      </c>
      <c r="AC17" s="26" t="str">
        <f>IF(AC16&lt;=Table4[sla_shipping_time],"Blue",IF(AC16&lt;=Table4[sla_shipping_time]*1.1,"Amber","Red"))</f>
        <v>Blue</v>
      </c>
    </row>
    <row r="18" spans="1:31" x14ac:dyDescent="0.25">
      <c r="A18" t="s">
        <v>33</v>
      </c>
      <c r="B18" t="s">
        <v>70</v>
      </c>
      <c r="C18" s="1">
        <v>7.5472000000000001</v>
      </c>
      <c r="D18">
        <v>74</v>
      </c>
      <c r="E18">
        <v>280</v>
      </c>
      <c r="F18" s="1">
        <v>6453.7979681762854</v>
      </c>
      <c r="G18" t="s">
        <v>35</v>
      </c>
      <c r="H18">
        <v>2</v>
      </c>
      <c r="I18">
        <v>5</v>
      </c>
      <c r="J18">
        <v>78</v>
      </c>
      <c r="K18">
        <v>1</v>
      </c>
      <c r="L18" t="s">
        <v>27</v>
      </c>
      <c r="M18" s="1">
        <v>4.1913245857055017</v>
      </c>
      <c r="N18" t="s">
        <v>39</v>
      </c>
      <c r="O18" t="s">
        <v>53</v>
      </c>
      <c r="P18">
        <v>3</v>
      </c>
      <c r="Q18">
        <v>399</v>
      </c>
      <c r="R18">
        <v>21</v>
      </c>
      <c r="S18" s="1">
        <v>77.106300000000005</v>
      </c>
      <c r="T18" t="s">
        <v>64</v>
      </c>
      <c r="U18">
        <v>1.0125630892580491</v>
      </c>
      <c r="V18" t="s">
        <v>40</v>
      </c>
      <c r="W18" t="s">
        <v>48</v>
      </c>
      <c r="X18" s="1">
        <v>865.5258</v>
      </c>
      <c r="Y18" s="1">
        <f>supply_chain_data3[Revenue generated]-(supply_chain_data3[Manufacturing costs]+supply_chain_data3[Shipping costs]+supply_chain_data3[Costs])</f>
        <v>5506.9745435905797</v>
      </c>
      <c r="Z18" s="5">
        <f>supply_chain_data3[Stock levels]+supply_chain_data3[Production volumes]+supply_chain_data3[Order quantities]-supply_chain_data3[Number of products sold]</f>
        <v>199</v>
      </c>
      <c r="AA18">
        <f>supply_chain_data3[Production volumes]*supply_chain_data3[Defect rates]</f>
        <v>404.01267261396157</v>
      </c>
      <c r="AC18" s="26">
        <f>(AVERAGE(supply_chain_data3[Lead time]))-Table4[SLA_order_fulfillment]</f>
        <v>2.0799999999999983</v>
      </c>
    </row>
    <row r="19" spans="1:31" x14ac:dyDescent="0.25">
      <c r="A19" t="s">
        <v>57</v>
      </c>
      <c r="B19" t="s">
        <v>71</v>
      </c>
      <c r="C19" s="1">
        <v>81.462500000000006</v>
      </c>
      <c r="D19">
        <v>82</v>
      </c>
      <c r="E19">
        <v>126</v>
      </c>
      <c r="F19" s="1">
        <v>2629.3964348452619</v>
      </c>
      <c r="G19" t="s">
        <v>35</v>
      </c>
      <c r="H19">
        <v>45</v>
      </c>
      <c r="I19">
        <v>17</v>
      </c>
      <c r="J19">
        <v>85</v>
      </c>
      <c r="K19">
        <v>9</v>
      </c>
      <c r="L19" t="s">
        <v>43</v>
      </c>
      <c r="M19" s="1">
        <v>3.5854189582323421</v>
      </c>
      <c r="N19" t="s">
        <v>39</v>
      </c>
      <c r="O19" t="s">
        <v>62</v>
      </c>
      <c r="P19">
        <v>7</v>
      </c>
      <c r="Q19">
        <v>453</v>
      </c>
      <c r="R19">
        <v>16</v>
      </c>
      <c r="S19" s="1">
        <v>47.679699999999997</v>
      </c>
      <c r="T19" t="s">
        <v>46</v>
      </c>
      <c r="U19">
        <v>0.10202075491817619</v>
      </c>
      <c r="V19" t="s">
        <v>40</v>
      </c>
      <c r="W19" t="s">
        <v>41</v>
      </c>
      <c r="X19" s="1">
        <v>670.93439999999998</v>
      </c>
      <c r="Y19" s="1">
        <f>supply_chain_data3[Revenue generated]-(supply_chain_data3[Manufacturing costs]+supply_chain_data3[Shipping costs]+supply_chain_data3[Costs])</f>
        <v>1907.1969158870295</v>
      </c>
      <c r="Z19" s="5">
        <f>supply_chain_data3[Stock levels]+supply_chain_data3[Production volumes]+supply_chain_data3[Order quantities]-supply_chain_data3[Number of products sold]</f>
        <v>457</v>
      </c>
      <c r="AA19">
        <f>supply_chain_data3[Production volumes]*supply_chain_data3[Defect rates]</f>
        <v>46.215401977933816</v>
      </c>
      <c r="AC19" s="26" t="str">
        <f>IF(AD8&lt;=Table4[SLA_order_fulfillment],"Blue",
 IF(AD8&lt;=Table4[SLA_order_fulfillment]*1.1,"Amber","Red"))</f>
        <v>Red</v>
      </c>
    </row>
    <row r="20" spans="1:31" x14ac:dyDescent="0.25">
      <c r="A20" t="s">
        <v>24</v>
      </c>
      <c r="B20" t="s">
        <v>72</v>
      </c>
      <c r="C20" s="1">
        <v>36.443600000000004</v>
      </c>
      <c r="D20">
        <v>23</v>
      </c>
      <c r="E20">
        <v>620</v>
      </c>
      <c r="F20" s="1">
        <v>9364.6735050761727</v>
      </c>
      <c r="G20" t="s">
        <v>38</v>
      </c>
      <c r="H20">
        <v>10</v>
      </c>
      <c r="I20">
        <v>10</v>
      </c>
      <c r="J20">
        <v>46</v>
      </c>
      <c r="K20">
        <v>8</v>
      </c>
      <c r="L20" t="s">
        <v>43</v>
      </c>
      <c r="M20" s="1">
        <v>4.339224714110709</v>
      </c>
      <c r="N20" t="s">
        <v>61</v>
      </c>
      <c r="O20" t="s">
        <v>45</v>
      </c>
      <c r="P20">
        <v>18</v>
      </c>
      <c r="Q20">
        <v>374</v>
      </c>
      <c r="R20">
        <v>17</v>
      </c>
      <c r="S20" s="1">
        <v>27.108000000000001</v>
      </c>
      <c r="T20" t="s">
        <v>30</v>
      </c>
      <c r="U20">
        <v>2.2319391107292637</v>
      </c>
      <c r="V20" t="s">
        <v>56</v>
      </c>
      <c r="W20" t="s">
        <v>48</v>
      </c>
      <c r="X20" s="1">
        <v>593.48030000000006</v>
      </c>
      <c r="Y20" s="1">
        <f>supply_chain_data3[Revenue generated]-(supply_chain_data3[Manufacturing costs]+supply_chain_data3[Shipping costs]+supply_chain_data3[Costs])</f>
        <v>8739.7459803620623</v>
      </c>
      <c r="Z20" s="5">
        <f>supply_chain_data3[Stock levels]+supply_chain_data3[Production volumes]+supply_chain_data3[Order quantities]-supply_chain_data3[Number of products sold]</f>
        <v>-190</v>
      </c>
      <c r="AA20">
        <f>supply_chain_data3[Production volumes]*supply_chain_data3[Defect rates]</f>
        <v>834.74522741274461</v>
      </c>
      <c r="AC20" s="26">
        <f>(AVERAGE(supply_chain_data3[Order quantities]))-Table4[order_target]</f>
        <v>-0.78000000000000114</v>
      </c>
    </row>
    <row r="21" spans="1:31" x14ac:dyDescent="0.25">
      <c r="A21" t="s">
        <v>33</v>
      </c>
      <c r="B21" t="s">
        <v>73</v>
      </c>
      <c r="C21" s="1">
        <v>51.123899999999999</v>
      </c>
      <c r="D21">
        <v>100</v>
      </c>
      <c r="E21">
        <v>187</v>
      </c>
      <c r="F21" s="1">
        <v>2553.4955849912149</v>
      </c>
      <c r="G21" t="s">
        <v>38</v>
      </c>
      <c r="H21">
        <v>48</v>
      </c>
      <c r="I21">
        <v>11</v>
      </c>
      <c r="J21">
        <v>94</v>
      </c>
      <c r="K21">
        <v>3</v>
      </c>
      <c r="L21" t="s">
        <v>36</v>
      </c>
      <c r="M21" s="1">
        <v>4.7426358828418769</v>
      </c>
      <c r="N21" t="s">
        <v>52</v>
      </c>
      <c r="O21" t="s">
        <v>62</v>
      </c>
      <c r="P21">
        <v>20</v>
      </c>
      <c r="Q21">
        <v>694</v>
      </c>
      <c r="R21">
        <v>16</v>
      </c>
      <c r="S21" s="1">
        <v>82.3733</v>
      </c>
      <c r="T21" t="s">
        <v>46</v>
      </c>
      <c r="U21">
        <v>3.6464508654170293</v>
      </c>
      <c r="V21" t="s">
        <v>31</v>
      </c>
      <c r="W21" t="s">
        <v>41</v>
      </c>
      <c r="X21" s="1">
        <v>477.30759999999998</v>
      </c>
      <c r="Y21" s="1">
        <f>supply_chain_data3[Revenue generated]-(supply_chain_data3[Manufacturing costs]+supply_chain_data3[Shipping costs]+supply_chain_data3[Costs])</f>
        <v>1989.072049108373</v>
      </c>
      <c r="Z21" s="5">
        <f>supply_chain_data3[Stock levels]+supply_chain_data3[Production volumes]+supply_chain_data3[Order quantities]-supply_chain_data3[Number of products sold]</f>
        <v>649</v>
      </c>
      <c r="AA21">
        <f>supply_chain_data3[Production volumes]*supply_chain_data3[Defect rates]</f>
        <v>2530.6369005994184</v>
      </c>
      <c r="AC21" s="26" t="str">
        <f>IF(AD7&gt;=Table4[order_target],"Blue",
 IF(AD7&gt;=Table4[order_target]*0.9,"Amber","Red"))</f>
        <v>Amber</v>
      </c>
      <c r="AE21" s="5"/>
    </row>
    <row r="22" spans="1:31" x14ac:dyDescent="0.25">
      <c r="A22" t="s">
        <v>33</v>
      </c>
      <c r="B22" t="s">
        <v>74</v>
      </c>
      <c r="C22" s="1">
        <v>96.341099999999997</v>
      </c>
      <c r="D22">
        <v>22</v>
      </c>
      <c r="E22">
        <v>320</v>
      </c>
      <c r="F22" s="1">
        <v>8128.0276968511916</v>
      </c>
      <c r="G22" t="s">
        <v>38</v>
      </c>
      <c r="H22">
        <v>27</v>
      </c>
      <c r="I22">
        <v>12</v>
      </c>
      <c r="J22">
        <v>68</v>
      </c>
      <c r="K22">
        <v>6</v>
      </c>
      <c r="L22" t="s">
        <v>36</v>
      </c>
      <c r="M22" s="1">
        <v>8.8783346509268402</v>
      </c>
      <c r="N22" t="s">
        <v>39</v>
      </c>
      <c r="O22" t="s">
        <v>62</v>
      </c>
      <c r="P22">
        <v>29</v>
      </c>
      <c r="Q22">
        <v>309</v>
      </c>
      <c r="R22">
        <v>6</v>
      </c>
      <c r="S22" s="1">
        <v>65.686300000000003</v>
      </c>
      <c r="T22" t="s">
        <v>64</v>
      </c>
      <c r="U22">
        <v>4.2314165735345393</v>
      </c>
      <c r="V22" t="s">
        <v>40</v>
      </c>
      <c r="W22" t="s">
        <v>32</v>
      </c>
      <c r="X22" s="1">
        <v>493.87119999999999</v>
      </c>
      <c r="Y22" s="1">
        <f>supply_chain_data3[Revenue generated]-(supply_chain_data3[Manufacturing costs]+supply_chain_data3[Shipping costs]+supply_chain_data3[Costs])</f>
        <v>7559.5918622002646</v>
      </c>
      <c r="Z22" s="5">
        <f>supply_chain_data3[Stock levels]+supply_chain_data3[Production volumes]+supply_chain_data3[Order quantities]-supply_chain_data3[Number of products sold]</f>
        <v>84</v>
      </c>
      <c r="AA22">
        <f>supply_chain_data3[Production volumes]*supply_chain_data3[Defect rates]</f>
        <v>1307.5077212221727</v>
      </c>
    </row>
    <row r="23" spans="1:31" x14ac:dyDescent="0.25">
      <c r="A23" t="s">
        <v>57</v>
      </c>
      <c r="B23" t="s">
        <v>75</v>
      </c>
      <c r="C23" s="1">
        <v>84.893900000000002</v>
      </c>
      <c r="D23">
        <v>60</v>
      </c>
      <c r="E23">
        <v>601</v>
      </c>
      <c r="F23" s="1">
        <v>7087.0526963574366</v>
      </c>
      <c r="G23" t="s">
        <v>38</v>
      </c>
      <c r="H23">
        <v>69</v>
      </c>
      <c r="I23">
        <v>25</v>
      </c>
      <c r="J23">
        <v>7</v>
      </c>
      <c r="K23">
        <v>6</v>
      </c>
      <c r="L23" t="s">
        <v>27</v>
      </c>
      <c r="M23" s="1">
        <v>6.0378837692182978</v>
      </c>
      <c r="N23" t="s">
        <v>44</v>
      </c>
      <c r="O23" t="s">
        <v>62</v>
      </c>
      <c r="P23">
        <v>19</v>
      </c>
      <c r="Q23">
        <v>791</v>
      </c>
      <c r="R23">
        <v>4</v>
      </c>
      <c r="S23" s="1">
        <v>61.735700000000001</v>
      </c>
      <c r="T23" t="s">
        <v>30</v>
      </c>
      <c r="U23">
        <v>1.8607567631014899E-2</v>
      </c>
      <c r="V23" t="s">
        <v>40</v>
      </c>
      <c r="W23" t="s">
        <v>41</v>
      </c>
      <c r="X23" s="1">
        <v>523.36090000000002</v>
      </c>
      <c r="Y23" s="1">
        <f>supply_chain_data3[Revenue generated]-(supply_chain_data3[Manufacturing costs]+supply_chain_data3[Shipping costs]+supply_chain_data3[Costs])</f>
        <v>6495.918212588218</v>
      </c>
      <c r="Z23" s="5">
        <f>supply_chain_data3[Stock levels]+supply_chain_data3[Production volumes]+supply_chain_data3[Order quantities]-supply_chain_data3[Number of products sold]</f>
        <v>266</v>
      </c>
      <c r="AA23">
        <f>supply_chain_data3[Production volumes]*supply_chain_data3[Defect rates]</f>
        <v>14.718585996132784</v>
      </c>
    </row>
    <row r="24" spans="1:31" x14ac:dyDescent="0.25">
      <c r="A24" t="s">
        <v>24</v>
      </c>
      <c r="B24" t="s">
        <v>76</v>
      </c>
      <c r="C24" s="1">
        <v>27.6798</v>
      </c>
      <c r="D24">
        <v>55</v>
      </c>
      <c r="E24">
        <v>884</v>
      </c>
      <c r="F24" s="1">
        <v>2390.8078665561734</v>
      </c>
      <c r="G24" t="s">
        <v>38</v>
      </c>
      <c r="H24">
        <v>71</v>
      </c>
      <c r="I24">
        <v>1</v>
      </c>
      <c r="J24">
        <v>63</v>
      </c>
      <c r="K24">
        <v>10</v>
      </c>
      <c r="L24" t="s">
        <v>36</v>
      </c>
      <c r="M24" s="1">
        <v>9.5676489209230393</v>
      </c>
      <c r="N24" t="s">
        <v>52</v>
      </c>
      <c r="O24" t="s">
        <v>45</v>
      </c>
      <c r="P24">
        <v>22</v>
      </c>
      <c r="Q24">
        <v>780</v>
      </c>
      <c r="R24">
        <v>28</v>
      </c>
      <c r="S24" s="1">
        <v>50.120800000000003</v>
      </c>
      <c r="T24" t="s">
        <v>46</v>
      </c>
      <c r="U24">
        <v>2.5912754732111161</v>
      </c>
      <c r="V24" t="s">
        <v>47</v>
      </c>
      <c r="W24" t="s">
        <v>41</v>
      </c>
      <c r="X24" s="1">
        <v>205.572</v>
      </c>
      <c r="Y24" s="1">
        <f>supply_chain_data3[Revenue generated]-(supply_chain_data3[Manufacturing costs]+supply_chain_data3[Shipping costs]+supply_chain_data3[Costs])</f>
        <v>2125.5474176352504</v>
      </c>
      <c r="Z24" s="5">
        <f>supply_chain_data3[Stock levels]+supply_chain_data3[Production volumes]+supply_chain_data3[Order quantities]-supply_chain_data3[Number of products sold]</f>
        <v>30</v>
      </c>
      <c r="AA24">
        <f>supply_chain_data3[Production volumes]*supply_chain_data3[Defect rates]</f>
        <v>2021.1948691046705</v>
      </c>
    </row>
    <row r="25" spans="1:31" x14ac:dyDescent="0.25">
      <c r="A25" t="s">
        <v>57</v>
      </c>
      <c r="B25" t="s">
        <v>77</v>
      </c>
      <c r="C25" s="1">
        <v>4.3243</v>
      </c>
      <c r="D25">
        <v>30</v>
      </c>
      <c r="E25">
        <v>391</v>
      </c>
      <c r="F25" s="1">
        <v>8858.367571011484</v>
      </c>
      <c r="G25" t="s">
        <v>38</v>
      </c>
      <c r="H25">
        <v>84</v>
      </c>
      <c r="I25">
        <v>5</v>
      </c>
      <c r="J25">
        <v>29</v>
      </c>
      <c r="K25">
        <v>7</v>
      </c>
      <c r="L25" t="s">
        <v>36</v>
      </c>
      <c r="M25" s="1">
        <v>2.924857601145554</v>
      </c>
      <c r="N25" t="s">
        <v>44</v>
      </c>
      <c r="O25" t="s">
        <v>45</v>
      </c>
      <c r="P25">
        <v>11</v>
      </c>
      <c r="Q25">
        <v>568</v>
      </c>
      <c r="R25">
        <v>29</v>
      </c>
      <c r="S25" s="1">
        <v>98.61</v>
      </c>
      <c r="T25" t="s">
        <v>30</v>
      </c>
      <c r="U25">
        <v>1.3422915627227339</v>
      </c>
      <c r="V25" t="s">
        <v>47</v>
      </c>
      <c r="W25" t="s">
        <v>48</v>
      </c>
      <c r="X25" s="1">
        <v>196.32939999999999</v>
      </c>
      <c r="Y25" s="1">
        <f>supply_chain_data3[Revenue generated]-(supply_chain_data3[Manufacturing costs]+supply_chain_data3[Shipping costs]+supply_chain_data3[Costs])</f>
        <v>8560.5033134103378</v>
      </c>
      <c r="Z25" s="5">
        <f>supply_chain_data3[Stock levels]+supply_chain_data3[Production volumes]+supply_chain_data3[Order quantities]-supply_chain_data3[Number of products sold]</f>
        <v>290</v>
      </c>
      <c r="AA25">
        <f>supply_chain_data3[Production volumes]*supply_chain_data3[Defect rates]</f>
        <v>762.42160762651281</v>
      </c>
      <c r="AC25" s="37" t="s">
        <v>212</v>
      </c>
      <c r="AD25" s="37" t="s">
        <v>213</v>
      </c>
    </row>
    <row r="26" spans="1:31" x14ac:dyDescent="0.25">
      <c r="A26" t="s">
        <v>24</v>
      </c>
      <c r="B26" t="s">
        <v>78</v>
      </c>
      <c r="C26" s="1">
        <v>4.1562999999999999</v>
      </c>
      <c r="D26">
        <v>32</v>
      </c>
      <c r="E26">
        <v>209</v>
      </c>
      <c r="F26" s="1">
        <v>9049.0778609398967</v>
      </c>
      <c r="G26" t="s">
        <v>55</v>
      </c>
      <c r="H26">
        <v>4</v>
      </c>
      <c r="I26">
        <v>26</v>
      </c>
      <c r="J26">
        <v>2</v>
      </c>
      <c r="K26">
        <v>8</v>
      </c>
      <c r="L26" t="s">
        <v>43</v>
      </c>
      <c r="M26" s="1">
        <v>9.7412916892843686</v>
      </c>
      <c r="N26" t="s">
        <v>61</v>
      </c>
      <c r="O26" t="s">
        <v>53</v>
      </c>
      <c r="P26">
        <v>28</v>
      </c>
      <c r="Q26">
        <v>447</v>
      </c>
      <c r="R26">
        <v>3</v>
      </c>
      <c r="S26" s="1">
        <v>40.382399999999997</v>
      </c>
      <c r="T26" t="s">
        <v>30</v>
      </c>
      <c r="U26">
        <v>3.691310292628728</v>
      </c>
      <c r="V26" t="s">
        <v>40</v>
      </c>
      <c r="W26" t="s">
        <v>48</v>
      </c>
      <c r="X26" s="1">
        <v>758.72479999999996</v>
      </c>
      <c r="Y26" s="1">
        <f>supply_chain_data3[Revenue generated]-(supply_chain_data3[Manufacturing costs]+supply_chain_data3[Shipping costs]+supply_chain_data3[Costs])</f>
        <v>8240.2293692506119</v>
      </c>
      <c r="Z26" s="5">
        <f>supply_chain_data3[Stock levels]+supply_chain_data3[Production volumes]+supply_chain_data3[Order quantities]-supply_chain_data3[Number of products sold]</f>
        <v>244</v>
      </c>
      <c r="AA26">
        <f>supply_chain_data3[Production volumes]*supply_chain_data3[Defect rates]</f>
        <v>1650.0157008050414</v>
      </c>
      <c r="AC26" s="28" t="s">
        <v>208</v>
      </c>
      <c r="AD26" s="28">
        <v>0.03</v>
      </c>
    </row>
    <row r="27" spans="1:31" x14ac:dyDescent="0.25">
      <c r="A27" t="s">
        <v>24</v>
      </c>
      <c r="B27" t="s">
        <v>79</v>
      </c>
      <c r="C27" s="1">
        <v>39.629300000000001</v>
      </c>
      <c r="D27">
        <v>73</v>
      </c>
      <c r="E27">
        <v>142</v>
      </c>
      <c r="F27" s="1">
        <v>2174.777054350654</v>
      </c>
      <c r="G27" t="s">
        <v>55</v>
      </c>
      <c r="H27">
        <v>82</v>
      </c>
      <c r="I27">
        <v>11</v>
      </c>
      <c r="J27">
        <v>52</v>
      </c>
      <c r="K27">
        <v>3</v>
      </c>
      <c r="L27" t="s">
        <v>43</v>
      </c>
      <c r="M27" s="1">
        <v>2.2310736812817278</v>
      </c>
      <c r="N27" t="s">
        <v>52</v>
      </c>
      <c r="O27" t="s">
        <v>45</v>
      </c>
      <c r="P27">
        <v>19</v>
      </c>
      <c r="Q27">
        <v>934</v>
      </c>
      <c r="R27">
        <v>23</v>
      </c>
      <c r="S27" s="1">
        <v>78.2804</v>
      </c>
      <c r="T27" t="s">
        <v>30</v>
      </c>
      <c r="U27">
        <v>3.7972312171141831</v>
      </c>
      <c r="V27" t="s">
        <v>31</v>
      </c>
      <c r="W27" t="s">
        <v>32</v>
      </c>
      <c r="X27" s="1">
        <v>458.53590000000003</v>
      </c>
      <c r="Y27" s="1">
        <f>supply_chain_data3[Revenue generated]-(supply_chain_data3[Manufacturing costs]+supply_chain_data3[Shipping costs]+supply_chain_data3[Costs])</f>
        <v>1635.7296806693721</v>
      </c>
      <c r="Z27" s="5">
        <f>supply_chain_data3[Stock levels]+supply_chain_data3[Production volumes]+supply_chain_data3[Order quantities]-supply_chain_data3[Number of products sold]</f>
        <v>926</v>
      </c>
      <c r="AA27">
        <f>supply_chain_data3[Production volumes]*supply_chain_data3[Defect rates]</f>
        <v>3546.6139567846471</v>
      </c>
      <c r="AC27" s="28">
        <f>AE8-AD26</f>
        <v>-3.9891518737672563E-3</v>
      </c>
    </row>
    <row r="28" spans="1:31" x14ac:dyDescent="0.25">
      <c r="A28" t="s">
        <v>24</v>
      </c>
      <c r="B28" t="s">
        <v>80</v>
      </c>
      <c r="C28" s="1">
        <v>97.446899999999999</v>
      </c>
      <c r="D28">
        <v>9</v>
      </c>
      <c r="E28">
        <v>353</v>
      </c>
      <c r="F28" s="1">
        <v>3716.4933258940368</v>
      </c>
      <c r="G28" t="s">
        <v>55</v>
      </c>
      <c r="H28">
        <v>59</v>
      </c>
      <c r="I28">
        <v>16</v>
      </c>
      <c r="J28">
        <v>48</v>
      </c>
      <c r="K28">
        <v>4</v>
      </c>
      <c r="L28" t="s">
        <v>27</v>
      </c>
      <c r="M28" s="1">
        <v>6.5075486210785511</v>
      </c>
      <c r="N28" t="s">
        <v>61</v>
      </c>
      <c r="O28" t="s">
        <v>53</v>
      </c>
      <c r="P28">
        <v>26</v>
      </c>
      <c r="Q28">
        <v>171</v>
      </c>
      <c r="R28">
        <v>4</v>
      </c>
      <c r="S28" s="1">
        <v>15.972200000000001</v>
      </c>
      <c r="T28" t="s">
        <v>64</v>
      </c>
      <c r="U28">
        <v>2.1193197367249228</v>
      </c>
      <c r="V28" t="s">
        <v>47</v>
      </c>
      <c r="W28" t="s">
        <v>48</v>
      </c>
      <c r="X28" s="1">
        <v>617.86689999999999</v>
      </c>
      <c r="Y28" s="1">
        <f>supply_chain_data3[Revenue generated]-(supply_chain_data3[Manufacturing costs]+supply_chain_data3[Shipping costs]+supply_chain_data3[Costs])</f>
        <v>3076.1466772729582</v>
      </c>
      <c r="Z28" s="5">
        <f>supply_chain_data3[Stock levels]+supply_chain_data3[Production volumes]+supply_chain_data3[Order quantities]-supply_chain_data3[Number of products sold]</f>
        <v>-75</v>
      </c>
      <c r="AA28">
        <f>supply_chain_data3[Production volumes]*supply_chain_data3[Defect rates]</f>
        <v>362.40367497996181</v>
      </c>
      <c r="AC28" s="28" t="str">
        <f>IF(AE8&gt;=AD26,"Blue",IF(AE8&gt;=AD26*0.9,"Amber","Red"))</f>
        <v>Red</v>
      </c>
    </row>
    <row r="29" spans="1:31" x14ac:dyDescent="0.25">
      <c r="A29" t="s">
        <v>57</v>
      </c>
      <c r="B29" t="s">
        <v>81</v>
      </c>
      <c r="C29" s="1">
        <v>92.557400000000001</v>
      </c>
      <c r="D29">
        <v>42</v>
      </c>
      <c r="E29">
        <v>352</v>
      </c>
      <c r="F29" s="1">
        <v>2686.4572235759833</v>
      </c>
      <c r="G29" t="s">
        <v>38</v>
      </c>
      <c r="H29">
        <v>47</v>
      </c>
      <c r="I29">
        <v>9</v>
      </c>
      <c r="J29">
        <v>62</v>
      </c>
      <c r="K29">
        <v>8</v>
      </c>
      <c r="L29" t="s">
        <v>43</v>
      </c>
      <c r="M29" s="1">
        <v>7.406750952998074</v>
      </c>
      <c r="N29" t="s">
        <v>44</v>
      </c>
      <c r="O29" t="s">
        <v>29</v>
      </c>
      <c r="P29">
        <v>25</v>
      </c>
      <c r="Q29">
        <v>291</v>
      </c>
      <c r="R29">
        <v>4</v>
      </c>
      <c r="S29" s="1">
        <v>10.5282</v>
      </c>
      <c r="T29" t="s">
        <v>46</v>
      </c>
      <c r="U29">
        <v>2.8646678378833732</v>
      </c>
      <c r="V29" t="s">
        <v>56</v>
      </c>
      <c r="W29" t="s">
        <v>32</v>
      </c>
      <c r="X29" s="1">
        <v>762.45920000000001</v>
      </c>
      <c r="Y29" s="1">
        <f>supply_chain_data3[Revenue generated]-(supply_chain_data3[Manufacturing costs]+supply_chain_data3[Shipping costs]+supply_chain_data3[Costs])</f>
        <v>1906.0630726229851</v>
      </c>
      <c r="Z29" s="5">
        <f>supply_chain_data3[Stock levels]+supply_chain_data3[Production volumes]+supply_chain_data3[Order quantities]-supply_chain_data3[Number of products sold]</f>
        <v>48</v>
      </c>
      <c r="AA29">
        <f>supply_chain_data3[Production volumes]*supply_chain_data3[Defect rates]</f>
        <v>833.61834082406165</v>
      </c>
    </row>
    <row r="30" spans="1:31" x14ac:dyDescent="0.25">
      <c r="A30" t="s">
        <v>57</v>
      </c>
      <c r="B30" t="s">
        <v>82</v>
      </c>
      <c r="C30" s="1">
        <v>2.3973</v>
      </c>
      <c r="D30">
        <v>12</v>
      </c>
      <c r="E30">
        <v>394</v>
      </c>
      <c r="F30" s="1">
        <v>6117.3246150839923</v>
      </c>
      <c r="G30" t="s">
        <v>35</v>
      </c>
      <c r="H30">
        <v>48</v>
      </c>
      <c r="I30">
        <v>15</v>
      </c>
      <c r="J30">
        <v>24</v>
      </c>
      <c r="K30">
        <v>4</v>
      </c>
      <c r="L30" t="s">
        <v>27</v>
      </c>
      <c r="M30" s="1">
        <v>9.898140508069222</v>
      </c>
      <c r="N30" t="s">
        <v>39</v>
      </c>
      <c r="O30" t="s">
        <v>29</v>
      </c>
      <c r="P30">
        <v>13</v>
      </c>
      <c r="Q30">
        <v>171</v>
      </c>
      <c r="R30">
        <v>7</v>
      </c>
      <c r="S30" s="1">
        <v>59.429400000000001</v>
      </c>
      <c r="T30" t="s">
        <v>46</v>
      </c>
      <c r="U30">
        <v>0.81575707929567198</v>
      </c>
      <c r="V30" t="s">
        <v>40</v>
      </c>
      <c r="W30" t="s">
        <v>48</v>
      </c>
      <c r="X30" s="1">
        <v>123.437</v>
      </c>
      <c r="Y30" s="1">
        <f>supply_chain_data3[Revenue generated]-(supply_chain_data3[Manufacturing costs]+supply_chain_data3[Shipping costs]+supply_chain_data3[Costs])</f>
        <v>5924.560074575923</v>
      </c>
      <c r="Z30" s="5">
        <f>supply_chain_data3[Stock levels]+supply_chain_data3[Production volumes]+supply_chain_data3[Order quantities]-supply_chain_data3[Number of products sold]</f>
        <v>-151</v>
      </c>
      <c r="AA30">
        <f>supply_chain_data3[Production volumes]*supply_chain_data3[Defect rates]</f>
        <v>139.49446055955991</v>
      </c>
    </row>
    <row r="31" spans="1:31" x14ac:dyDescent="0.25">
      <c r="A31" t="s">
        <v>57</v>
      </c>
      <c r="B31" t="s">
        <v>83</v>
      </c>
      <c r="C31" s="1">
        <v>63.447600000000001</v>
      </c>
      <c r="D31">
        <v>3</v>
      </c>
      <c r="E31">
        <v>253</v>
      </c>
      <c r="F31" s="1">
        <v>8318.9031946171781</v>
      </c>
      <c r="G31" t="s">
        <v>35</v>
      </c>
      <c r="H31">
        <v>45</v>
      </c>
      <c r="I31">
        <v>5</v>
      </c>
      <c r="J31">
        <v>67</v>
      </c>
      <c r="K31">
        <v>7</v>
      </c>
      <c r="L31" t="s">
        <v>27</v>
      </c>
      <c r="M31" s="1">
        <v>8.1009731453970311</v>
      </c>
      <c r="N31" t="s">
        <v>39</v>
      </c>
      <c r="O31" t="s">
        <v>45</v>
      </c>
      <c r="P31">
        <v>16</v>
      </c>
      <c r="Q31">
        <v>329</v>
      </c>
      <c r="R31">
        <v>7</v>
      </c>
      <c r="S31" s="1">
        <v>39.292900000000003</v>
      </c>
      <c r="T31" t="s">
        <v>64</v>
      </c>
      <c r="U31">
        <v>3.8780989365884881</v>
      </c>
      <c r="V31" t="s">
        <v>31</v>
      </c>
      <c r="W31" t="s">
        <v>32</v>
      </c>
      <c r="X31" s="1">
        <v>764.93539999999996</v>
      </c>
      <c r="Y31" s="1">
        <f>supply_chain_data3[Revenue generated]-(supply_chain_data3[Manufacturing costs]+supply_chain_data3[Shipping costs]+supply_chain_data3[Costs])</f>
        <v>7506.5739214717814</v>
      </c>
      <c r="Z31" s="5">
        <f>supply_chain_data3[Stock levels]+supply_chain_data3[Production volumes]+supply_chain_data3[Order quantities]-supply_chain_data3[Number of products sold]</f>
        <v>188</v>
      </c>
      <c r="AA31">
        <f>supply_chain_data3[Production volumes]*supply_chain_data3[Defect rates]</f>
        <v>1275.8945501376127</v>
      </c>
    </row>
    <row r="32" spans="1:31" x14ac:dyDescent="0.25">
      <c r="A32" t="s">
        <v>24</v>
      </c>
      <c r="B32" t="s">
        <v>84</v>
      </c>
      <c r="C32" s="1">
        <v>8.0228999999999999</v>
      </c>
      <c r="D32">
        <v>10</v>
      </c>
      <c r="E32">
        <v>327</v>
      </c>
      <c r="F32" s="1">
        <v>2766.3423668660889</v>
      </c>
      <c r="G32" t="s">
        <v>55</v>
      </c>
      <c r="H32">
        <v>60</v>
      </c>
      <c r="I32">
        <v>26</v>
      </c>
      <c r="J32">
        <v>35</v>
      </c>
      <c r="K32">
        <v>7</v>
      </c>
      <c r="L32" t="s">
        <v>27</v>
      </c>
      <c r="M32" s="1">
        <v>8.9545283153180151</v>
      </c>
      <c r="N32" t="s">
        <v>52</v>
      </c>
      <c r="O32" t="s">
        <v>45</v>
      </c>
      <c r="P32">
        <v>27</v>
      </c>
      <c r="Q32">
        <v>806</v>
      </c>
      <c r="R32">
        <v>30</v>
      </c>
      <c r="S32" s="1">
        <v>51.634900000000002</v>
      </c>
      <c r="T32" t="s">
        <v>30</v>
      </c>
      <c r="U32">
        <v>0.96539470535239313</v>
      </c>
      <c r="V32" t="s">
        <v>31</v>
      </c>
      <c r="W32" t="s">
        <v>41</v>
      </c>
      <c r="X32" s="1">
        <v>880.08100000000002</v>
      </c>
      <c r="Y32" s="1">
        <f>supply_chain_data3[Revenue generated]-(supply_chain_data3[Manufacturing costs]+supply_chain_data3[Shipping costs]+supply_chain_data3[Costs])</f>
        <v>1825.6719385507708</v>
      </c>
      <c r="Z32" s="5">
        <f>supply_chain_data3[Stock levels]+supply_chain_data3[Production volumes]+supply_chain_data3[Order quantities]-supply_chain_data3[Number of products sold]</f>
        <v>574</v>
      </c>
      <c r="AA32">
        <f>supply_chain_data3[Production volumes]*supply_chain_data3[Defect rates]</f>
        <v>778.10813251402885</v>
      </c>
    </row>
    <row r="33" spans="1:27" x14ac:dyDescent="0.25">
      <c r="A33" t="s">
        <v>33</v>
      </c>
      <c r="B33" t="s">
        <v>85</v>
      </c>
      <c r="C33" s="1">
        <v>50.8474</v>
      </c>
      <c r="D33">
        <v>28</v>
      </c>
      <c r="E33">
        <v>168</v>
      </c>
      <c r="F33" s="1">
        <v>9655.1351027193978</v>
      </c>
      <c r="G33" t="s">
        <v>55</v>
      </c>
      <c r="H33">
        <v>6</v>
      </c>
      <c r="I33">
        <v>17</v>
      </c>
      <c r="J33">
        <v>44</v>
      </c>
      <c r="K33">
        <v>4</v>
      </c>
      <c r="L33" t="s">
        <v>27</v>
      </c>
      <c r="M33" s="1">
        <v>2.6796609649814065</v>
      </c>
      <c r="N33" t="s">
        <v>28</v>
      </c>
      <c r="O33" t="s">
        <v>62</v>
      </c>
      <c r="P33">
        <v>24</v>
      </c>
      <c r="Q33">
        <v>461</v>
      </c>
      <c r="R33">
        <v>8</v>
      </c>
      <c r="S33" s="1">
        <v>60.251100000000001</v>
      </c>
      <c r="T33" t="s">
        <v>30</v>
      </c>
      <c r="U33">
        <v>2.9890000066550746</v>
      </c>
      <c r="V33" t="s">
        <v>47</v>
      </c>
      <c r="W33" t="s">
        <v>41</v>
      </c>
      <c r="X33" s="1">
        <v>609.37919999999997</v>
      </c>
      <c r="Y33" s="1">
        <f>supply_chain_data3[Revenue generated]-(supply_chain_data3[Manufacturing costs]+supply_chain_data3[Shipping costs]+supply_chain_data3[Costs])</f>
        <v>8982.8251417544161</v>
      </c>
      <c r="Z33" s="5">
        <f>supply_chain_data3[Stock levels]+supply_chain_data3[Production volumes]+supply_chain_data3[Order quantities]-supply_chain_data3[Number of products sold]</f>
        <v>343</v>
      </c>
      <c r="AA33">
        <f>supply_chain_data3[Production volumes]*supply_chain_data3[Defect rates]</f>
        <v>1377.9290030679895</v>
      </c>
    </row>
    <row r="34" spans="1:27" x14ac:dyDescent="0.25">
      <c r="A34" t="s">
        <v>33</v>
      </c>
      <c r="B34" t="s">
        <v>86</v>
      </c>
      <c r="C34" s="1">
        <v>79.209900000000005</v>
      </c>
      <c r="D34">
        <v>43</v>
      </c>
      <c r="E34">
        <v>781</v>
      </c>
      <c r="F34" s="1">
        <v>9571.5504873278187</v>
      </c>
      <c r="G34" t="s">
        <v>38</v>
      </c>
      <c r="H34">
        <v>89</v>
      </c>
      <c r="I34">
        <v>13</v>
      </c>
      <c r="J34">
        <v>64</v>
      </c>
      <c r="K34">
        <v>4</v>
      </c>
      <c r="L34" t="s">
        <v>43</v>
      </c>
      <c r="M34" s="1">
        <v>6.5991049012385838</v>
      </c>
      <c r="N34" t="s">
        <v>28</v>
      </c>
      <c r="O34" t="s">
        <v>45</v>
      </c>
      <c r="P34">
        <v>30</v>
      </c>
      <c r="Q34">
        <v>737</v>
      </c>
      <c r="R34">
        <v>7</v>
      </c>
      <c r="S34" s="1">
        <v>29.692499999999999</v>
      </c>
      <c r="T34" t="s">
        <v>64</v>
      </c>
      <c r="U34">
        <v>1.9460361193861131</v>
      </c>
      <c r="V34" t="s">
        <v>31</v>
      </c>
      <c r="W34" t="s">
        <v>48</v>
      </c>
      <c r="X34" s="1">
        <v>761.1739</v>
      </c>
      <c r="Y34" s="1">
        <f>supply_chain_data3[Revenue generated]-(supply_chain_data3[Manufacturing costs]+supply_chain_data3[Shipping costs]+supply_chain_data3[Costs])</f>
        <v>8774.0849824265806</v>
      </c>
      <c r="Z34" s="5">
        <f>supply_chain_data3[Stock levels]+supply_chain_data3[Production volumes]+supply_chain_data3[Order quantities]-supply_chain_data3[Number of products sold]</f>
        <v>109</v>
      </c>
      <c r="AA34">
        <f>supply_chain_data3[Production volumes]*supply_chain_data3[Defect rates]</f>
        <v>1434.2286199875653</v>
      </c>
    </row>
    <row r="35" spans="1:27" x14ac:dyDescent="0.25">
      <c r="A35" t="s">
        <v>57</v>
      </c>
      <c r="B35" t="s">
        <v>87</v>
      </c>
      <c r="C35" s="1">
        <v>64.795400000000001</v>
      </c>
      <c r="D35">
        <v>63</v>
      </c>
      <c r="E35">
        <v>616</v>
      </c>
      <c r="F35" s="1">
        <v>5149.9983504080365</v>
      </c>
      <c r="G35" t="s">
        <v>26</v>
      </c>
      <c r="H35">
        <v>4</v>
      </c>
      <c r="I35">
        <v>17</v>
      </c>
      <c r="J35">
        <v>95</v>
      </c>
      <c r="K35">
        <v>9</v>
      </c>
      <c r="L35" t="s">
        <v>43</v>
      </c>
      <c r="M35" s="1">
        <v>4.85827050343664</v>
      </c>
      <c r="N35" t="s">
        <v>44</v>
      </c>
      <c r="O35" t="s">
        <v>62</v>
      </c>
      <c r="P35">
        <v>1</v>
      </c>
      <c r="Q35">
        <v>251</v>
      </c>
      <c r="R35">
        <v>23</v>
      </c>
      <c r="S35" s="1">
        <v>23.853400000000001</v>
      </c>
      <c r="T35" t="s">
        <v>46</v>
      </c>
      <c r="U35">
        <v>3.5410460122509231</v>
      </c>
      <c r="V35" t="s">
        <v>56</v>
      </c>
      <c r="W35" t="s">
        <v>48</v>
      </c>
      <c r="X35" s="1">
        <v>371.25529999999998</v>
      </c>
      <c r="Y35" s="1">
        <f>supply_chain_data3[Revenue generated]-(supply_chain_data3[Manufacturing costs]+supply_chain_data3[Shipping costs]+supply_chain_data3[Costs])</f>
        <v>4750.0313799045998</v>
      </c>
      <c r="Z35" s="5">
        <f>supply_chain_data3[Stock levels]+supply_chain_data3[Production volumes]+supply_chain_data3[Order quantities]-supply_chain_data3[Number of products sold]</f>
        <v>-266</v>
      </c>
      <c r="AA35">
        <f>supply_chain_data3[Production volumes]*supply_chain_data3[Defect rates]</f>
        <v>888.8025490749817</v>
      </c>
    </row>
    <row r="36" spans="1:27" x14ac:dyDescent="0.25">
      <c r="A36" t="s">
        <v>33</v>
      </c>
      <c r="B36" t="s">
        <v>88</v>
      </c>
      <c r="C36" s="1">
        <v>37.467599999999997</v>
      </c>
      <c r="D36">
        <v>96</v>
      </c>
      <c r="E36">
        <v>602</v>
      </c>
      <c r="F36" s="1">
        <v>9061.7108955077238</v>
      </c>
      <c r="G36" t="s">
        <v>38</v>
      </c>
      <c r="H36">
        <v>1</v>
      </c>
      <c r="I36">
        <v>26</v>
      </c>
      <c r="J36">
        <v>21</v>
      </c>
      <c r="K36">
        <v>7</v>
      </c>
      <c r="L36" t="s">
        <v>36</v>
      </c>
      <c r="M36" s="1">
        <v>1.0194875708221189</v>
      </c>
      <c r="N36" t="s">
        <v>39</v>
      </c>
      <c r="O36" t="s">
        <v>62</v>
      </c>
      <c r="P36">
        <v>4</v>
      </c>
      <c r="Q36">
        <v>452</v>
      </c>
      <c r="R36">
        <v>10</v>
      </c>
      <c r="S36" s="1">
        <v>10.754300000000001</v>
      </c>
      <c r="T36" t="s">
        <v>64</v>
      </c>
      <c r="U36">
        <v>0.64660455937205485</v>
      </c>
      <c r="V36" t="s">
        <v>31</v>
      </c>
      <c r="W36" t="s">
        <v>32</v>
      </c>
      <c r="X36" s="1">
        <v>510.358</v>
      </c>
      <c r="Y36" s="1">
        <f>supply_chain_data3[Revenue generated]-(supply_chain_data3[Manufacturing costs]+supply_chain_data3[Shipping costs]+supply_chain_data3[Costs])</f>
        <v>8539.579107936901</v>
      </c>
      <c r="Z36" s="5">
        <f>supply_chain_data3[Stock levels]+supply_chain_data3[Production volumes]+supply_chain_data3[Order quantities]-supply_chain_data3[Number of products sold]</f>
        <v>-128</v>
      </c>
      <c r="AA36">
        <f>supply_chain_data3[Production volumes]*supply_chain_data3[Defect rates]</f>
        <v>292.26526083616881</v>
      </c>
    </row>
    <row r="37" spans="1:27" x14ac:dyDescent="0.25">
      <c r="A37" t="s">
        <v>57</v>
      </c>
      <c r="B37" t="s">
        <v>89</v>
      </c>
      <c r="C37" s="1">
        <v>84.957800000000006</v>
      </c>
      <c r="D37">
        <v>11</v>
      </c>
      <c r="E37">
        <v>449</v>
      </c>
      <c r="F37" s="1">
        <v>6541.3293448024651</v>
      </c>
      <c r="G37" t="s">
        <v>35</v>
      </c>
      <c r="H37">
        <v>42</v>
      </c>
      <c r="I37">
        <v>27</v>
      </c>
      <c r="J37">
        <v>85</v>
      </c>
      <c r="K37">
        <v>8</v>
      </c>
      <c r="L37" t="s">
        <v>43</v>
      </c>
      <c r="M37" s="1">
        <v>5.2881899903274094</v>
      </c>
      <c r="N37" t="s">
        <v>39</v>
      </c>
      <c r="O37" t="s">
        <v>50</v>
      </c>
      <c r="P37">
        <v>3</v>
      </c>
      <c r="Q37">
        <v>367</v>
      </c>
      <c r="R37">
        <v>2</v>
      </c>
      <c r="S37" s="1">
        <v>58.004800000000003</v>
      </c>
      <c r="T37" t="s">
        <v>64</v>
      </c>
      <c r="U37">
        <v>0.54115409806058112</v>
      </c>
      <c r="V37" t="s">
        <v>56</v>
      </c>
      <c r="W37" t="s">
        <v>41</v>
      </c>
      <c r="X37" s="1">
        <v>553.42049999999995</v>
      </c>
      <c r="Y37" s="1">
        <f>supply_chain_data3[Revenue generated]-(supply_chain_data3[Manufacturing costs]+supply_chain_data3[Shipping costs]+supply_chain_data3[Costs])</f>
        <v>5924.6158548121375</v>
      </c>
      <c r="Z37" s="5">
        <f>supply_chain_data3[Stock levels]+supply_chain_data3[Production volumes]+supply_chain_data3[Order quantities]-supply_chain_data3[Number of products sold]</f>
        <v>45</v>
      </c>
      <c r="AA37">
        <f>supply_chain_data3[Production volumes]*supply_chain_data3[Defect rates]</f>
        <v>198.60355398823327</v>
      </c>
    </row>
    <row r="38" spans="1:27" x14ac:dyDescent="0.25">
      <c r="A38" t="s">
        <v>33</v>
      </c>
      <c r="B38" t="s">
        <v>90</v>
      </c>
      <c r="C38" s="1">
        <v>9.8130000000000006</v>
      </c>
      <c r="D38">
        <v>34</v>
      </c>
      <c r="E38">
        <v>963</v>
      </c>
      <c r="F38" s="1">
        <v>7573.4024578487333</v>
      </c>
      <c r="G38" t="s">
        <v>35</v>
      </c>
      <c r="H38">
        <v>18</v>
      </c>
      <c r="I38">
        <v>23</v>
      </c>
      <c r="J38">
        <v>28</v>
      </c>
      <c r="K38">
        <v>3</v>
      </c>
      <c r="L38" t="s">
        <v>27</v>
      </c>
      <c r="M38" s="1">
        <v>2.107951267159081</v>
      </c>
      <c r="N38" t="s">
        <v>61</v>
      </c>
      <c r="O38" t="s">
        <v>50</v>
      </c>
      <c r="P38">
        <v>26</v>
      </c>
      <c r="Q38">
        <v>671</v>
      </c>
      <c r="R38">
        <v>19</v>
      </c>
      <c r="S38" s="1">
        <v>45.531399999999998</v>
      </c>
      <c r="T38" t="s">
        <v>46</v>
      </c>
      <c r="U38">
        <v>3.8055333792433537</v>
      </c>
      <c r="V38" t="s">
        <v>40</v>
      </c>
      <c r="W38" t="s">
        <v>41</v>
      </c>
      <c r="X38" s="1">
        <v>403.80900000000003</v>
      </c>
      <c r="Y38" s="1">
        <f>supply_chain_data3[Revenue generated]-(supply_chain_data3[Manufacturing costs]+supply_chain_data3[Shipping costs]+supply_chain_data3[Costs])</f>
        <v>7121.9541065815738</v>
      </c>
      <c r="Z38" s="5">
        <f>supply_chain_data3[Stock levels]+supply_chain_data3[Production volumes]+supply_chain_data3[Order quantities]-supply_chain_data3[Number of products sold]</f>
        <v>-246</v>
      </c>
      <c r="AA38">
        <f>supply_chain_data3[Production volumes]*supply_chain_data3[Defect rates]</f>
        <v>2553.5128974722902</v>
      </c>
    </row>
    <row r="39" spans="1:27" x14ac:dyDescent="0.25">
      <c r="A39" t="s">
        <v>33</v>
      </c>
      <c r="B39" t="s">
        <v>91</v>
      </c>
      <c r="C39" s="1">
        <v>23.399799999999999</v>
      </c>
      <c r="D39">
        <v>5</v>
      </c>
      <c r="E39">
        <v>963</v>
      </c>
      <c r="F39" s="1">
        <v>2438.3399304700288</v>
      </c>
      <c r="G39" t="s">
        <v>35</v>
      </c>
      <c r="H39">
        <v>25</v>
      </c>
      <c r="I39">
        <v>8</v>
      </c>
      <c r="J39">
        <v>21</v>
      </c>
      <c r="K39">
        <v>9</v>
      </c>
      <c r="L39" t="s">
        <v>36</v>
      </c>
      <c r="M39" s="1">
        <v>1.5326552735904306</v>
      </c>
      <c r="N39" t="s">
        <v>28</v>
      </c>
      <c r="O39" t="s">
        <v>45</v>
      </c>
      <c r="P39">
        <v>24</v>
      </c>
      <c r="Q39">
        <v>867</v>
      </c>
      <c r="R39">
        <v>15</v>
      </c>
      <c r="S39" s="1">
        <v>34.343299999999999</v>
      </c>
      <c r="T39" t="s">
        <v>30</v>
      </c>
      <c r="U39">
        <v>2.6102880848481131</v>
      </c>
      <c r="V39" t="s">
        <v>56</v>
      </c>
      <c r="W39" t="s">
        <v>48</v>
      </c>
      <c r="X39" s="1">
        <v>183.93299999999999</v>
      </c>
      <c r="Y39" s="1">
        <f>supply_chain_data3[Revenue generated]-(supply_chain_data3[Manufacturing costs]+supply_chain_data3[Shipping costs]+supply_chain_data3[Costs])</f>
        <v>2218.5309751964382</v>
      </c>
      <c r="Z39" s="5">
        <f>supply_chain_data3[Stock levels]+supply_chain_data3[Production volumes]+supply_chain_data3[Order quantities]-supply_chain_data3[Number of products sold]</f>
        <v>-50</v>
      </c>
      <c r="AA39">
        <f>supply_chain_data3[Production volumes]*supply_chain_data3[Defect rates]</f>
        <v>2263.1197695633141</v>
      </c>
    </row>
    <row r="40" spans="1:27" x14ac:dyDescent="0.25">
      <c r="A40" t="s">
        <v>57</v>
      </c>
      <c r="B40" t="s">
        <v>92</v>
      </c>
      <c r="C40" s="1">
        <v>52.075899999999997</v>
      </c>
      <c r="D40">
        <v>75</v>
      </c>
      <c r="E40">
        <v>705</v>
      </c>
      <c r="F40" s="1">
        <v>9692.3180402184316</v>
      </c>
      <c r="G40" t="s">
        <v>26</v>
      </c>
      <c r="H40">
        <v>69</v>
      </c>
      <c r="I40">
        <v>1</v>
      </c>
      <c r="J40">
        <v>88</v>
      </c>
      <c r="K40">
        <v>5</v>
      </c>
      <c r="L40" t="s">
        <v>27</v>
      </c>
      <c r="M40" s="1">
        <v>9.2359314372492278</v>
      </c>
      <c r="N40" t="s">
        <v>44</v>
      </c>
      <c r="O40" t="s">
        <v>29</v>
      </c>
      <c r="P40">
        <v>10</v>
      </c>
      <c r="Q40">
        <v>841</v>
      </c>
      <c r="R40">
        <v>12</v>
      </c>
      <c r="S40" s="1">
        <v>5.9306999999999999</v>
      </c>
      <c r="T40" t="s">
        <v>30</v>
      </c>
      <c r="U40">
        <v>0.61332689916450744</v>
      </c>
      <c r="V40" t="s">
        <v>40</v>
      </c>
      <c r="W40" t="s">
        <v>32</v>
      </c>
      <c r="X40" s="1">
        <v>339.67290000000003</v>
      </c>
      <c r="Y40" s="1">
        <f>supply_chain_data3[Revenue generated]-(supply_chain_data3[Manufacturing costs]+supply_chain_data3[Shipping costs]+supply_chain_data3[Costs])</f>
        <v>9337.4785087811815</v>
      </c>
      <c r="Z40" s="5">
        <f>supply_chain_data3[Stock levels]+supply_chain_data3[Production volumes]+supply_chain_data3[Order quantities]-supply_chain_data3[Number of products sold]</f>
        <v>293</v>
      </c>
      <c r="AA40">
        <f>supply_chain_data3[Production volumes]*supply_chain_data3[Defect rates]</f>
        <v>515.80792219735076</v>
      </c>
    </row>
    <row r="41" spans="1:27" x14ac:dyDescent="0.25">
      <c r="A41" t="s">
        <v>33</v>
      </c>
      <c r="B41" t="s">
        <v>93</v>
      </c>
      <c r="C41" s="1">
        <v>19.127500000000001</v>
      </c>
      <c r="D41">
        <v>26</v>
      </c>
      <c r="E41">
        <v>176</v>
      </c>
      <c r="F41" s="1">
        <v>1912.4656631007608</v>
      </c>
      <c r="G41" t="s">
        <v>35</v>
      </c>
      <c r="H41">
        <v>78</v>
      </c>
      <c r="I41">
        <v>29</v>
      </c>
      <c r="J41">
        <v>34</v>
      </c>
      <c r="K41">
        <v>3</v>
      </c>
      <c r="L41" t="s">
        <v>36</v>
      </c>
      <c r="M41" s="1">
        <v>5.5625037788303837</v>
      </c>
      <c r="N41" t="s">
        <v>61</v>
      </c>
      <c r="O41" t="s">
        <v>45</v>
      </c>
      <c r="P41">
        <v>30</v>
      </c>
      <c r="Q41">
        <v>791</v>
      </c>
      <c r="R41">
        <v>6</v>
      </c>
      <c r="S41" s="1">
        <v>9.0058000000000007</v>
      </c>
      <c r="T41" t="s">
        <v>46</v>
      </c>
      <c r="U41">
        <v>1.4519722039968159</v>
      </c>
      <c r="V41" t="s">
        <v>40</v>
      </c>
      <c r="W41" t="s">
        <v>32</v>
      </c>
      <c r="X41" s="1">
        <v>653.673</v>
      </c>
      <c r="Y41" s="1">
        <f>supply_chain_data3[Revenue generated]-(supply_chain_data3[Manufacturing costs]+supply_chain_data3[Shipping costs]+supply_chain_data3[Costs])</f>
        <v>1244.2243593219305</v>
      </c>
      <c r="Z41" s="5">
        <f>supply_chain_data3[Stock levels]+supply_chain_data3[Production volumes]+supply_chain_data3[Order quantities]-supply_chain_data3[Number of products sold]</f>
        <v>727</v>
      </c>
      <c r="AA41">
        <f>supply_chain_data3[Production volumes]*supply_chain_data3[Defect rates]</f>
        <v>1148.5100133614815</v>
      </c>
    </row>
    <row r="42" spans="1:27" x14ac:dyDescent="0.25">
      <c r="A42" t="s">
        <v>33</v>
      </c>
      <c r="B42" t="s">
        <v>94</v>
      </c>
      <c r="C42" s="1">
        <v>80.541399999999996</v>
      </c>
      <c r="D42">
        <v>97</v>
      </c>
      <c r="E42">
        <v>933</v>
      </c>
      <c r="F42" s="1">
        <v>5724.9593504562654</v>
      </c>
      <c r="G42" t="s">
        <v>35</v>
      </c>
      <c r="H42">
        <v>90</v>
      </c>
      <c r="I42">
        <v>20</v>
      </c>
      <c r="J42">
        <v>39</v>
      </c>
      <c r="K42">
        <v>8</v>
      </c>
      <c r="L42" t="s">
        <v>43</v>
      </c>
      <c r="M42" s="1">
        <v>7.2295951397364737</v>
      </c>
      <c r="N42" t="s">
        <v>39</v>
      </c>
      <c r="O42" t="s">
        <v>45</v>
      </c>
      <c r="P42">
        <v>18</v>
      </c>
      <c r="Q42">
        <v>793</v>
      </c>
      <c r="R42">
        <v>1</v>
      </c>
      <c r="S42" s="1">
        <v>88.179400000000001</v>
      </c>
      <c r="T42" t="s">
        <v>30</v>
      </c>
      <c r="U42">
        <v>4.2132694305865659</v>
      </c>
      <c r="V42" t="s">
        <v>31</v>
      </c>
      <c r="W42" t="s">
        <v>48</v>
      </c>
      <c r="X42" s="1">
        <v>529.80870000000004</v>
      </c>
      <c r="Y42" s="1">
        <f>supply_chain_data3[Revenue generated]-(supply_chain_data3[Manufacturing costs]+supply_chain_data3[Shipping costs]+supply_chain_data3[Costs])</f>
        <v>5099.7416553165285</v>
      </c>
      <c r="Z42" s="5">
        <f>supply_chain_data3[Stock levels]+supply_chain_data3[Production volumes]+supply_chain_data3[Order quantities]-supply_chain_data3[Number of products sold]</f>
        <v>-11</v>
      </c>
      <c r="AA42">
        <f>supply_chain_data3[Production volumes]*supply_chain_data3[Defect rates]</f>
        <v>3341.1226584551468</v>
      </c>
    </row>
    <row r="43" spans="1:27" x14ac:dyDescent="0.25">
      <c r="A43" t="s">
        <v>33</v>
      </c>
      <c r="B43" t="s">
        <v>95</v>
      </c>
      <c r="C43" s="1">
        <v>99.113299999999995</v>
      </c>
      <c r="D43">
        <v>35</v>
      </c>
      <c r="E43">
        <v>556</v>
      </c>
      <c r="F43" s="1">
        <v>5521.2052590109715</v>
      </c>
      <c r="G43" t="s">
        <v>35</v>
      </c>
      <c r="H43">
        <v>64</v>
      </c>
      <c r="I43">
        <v>19</v>
      </c>
      <c r="J43">
        <v>38</v>
      </c>
      <c r="K43">
        <v>8</v>
      </c>
      <c r="L43" t="s">
        <v>27</v>
      </c>
      <c r="M43" s="1">
        <v>5.7732637437666536</v>
      </c>
      <c r="N43" t="s">
        <v>52</v>
      </c>
      <c r="O43" t="s">
        <v>62</v>
      </c>
      <c r="P43">
        <v>18</v>
      </c>
      <c r="Q43">
        <v>892</v>
      </c>
      <c r="R43">
        <v>7</v>
      </c>
      <c r="S43" s="1">
        <v>95.332099999999997</v>
      </c>
      <c r="T43" t="s">
        <v>46</v>
      </c>
      <c r="U43">
        <v>4.530226239825963E-2</v>
      </c>
      <c r="V43" t="s">
        <v>56</v>
      </c>
      <c r="W43" t="s">
        <v>48</v>
      </c>
      <c r="X43" s="1">
        <v>275.52440000000001</v>
      </c>
      <c r="Y43" s="1">
        <f>supply_chain_data3[Revenue generated]-(supply_chain_data3[Manufacturing costs]+supply_chain_data3[Shipping costs]+supply_chain_data3[Costs])</f>
        <v>5144.575495267205</v>
      </c>
      <c r="Z43" s="5">
        <f>supply_chain_data3[Stock levels]+supply_chain_data3[Production volumes]+supply_chain_data3[Order quantities]-supply_chain_data3[Number of products sold]</f>
        <v>438</v>
      </c>
      <c r="AA43">
        <f>supply_chain_data3[Production volumes]*supply_chain_data3[Defect rates]</f>
        <v>40.409618059247592</v>
      </c>
    </row>
    <row r="44" spans="1:27" x14ac:dyDescent="0.25">
      <c r="A44" t="s">
        <v>33</v>
      </c>
      <c r="B44" t="s">
        <v>96</v>
      </c>
      <c r="C44" s="1">
        <v>46.529200000000003</v>
      </c>
      <c r="D44">
        <v>98</v>
      </c>
      <c r="E44">
        <v>155</v>
      </c>
      <c r="F44" s="1">
        <v>1839.6094258567639</v>
      </c>
      <c r="G44" t="s">
        <v>35</v>
      </c>
      <c r="H44">
        <v>22</v>
      </c>
      <c r="I44">
        <v>27</v>
      </c>
      <c r="J44">
        <v>57</v>
      </c>
      <c r="K44">
        <v>4</v>
      </c>
      <c r="L44" t="s">
        <v>43</v>
      </c>
      <c r="M44" s="1">
        <v>7.5262483268515084</v>
      </c>
      <c r="N44" t="s">
        <v>44</v>
      </c>
      <c r="O44" t="s">
        <v>53</v>
      </c>
      <c r="P44">
        <v>26</v>
      </c>
      <c r="Q44">
        <v>179</v>
      </c>
      <c r="R44">
        <v>7</v>
      </c>
      <c r="S44" s="1">
        <v>96.422799999999995</v>
      </c>
      <c r="T44" t="s">
        <v>46</v>
      </c>
      <c r="U44">
        <v>4.9392552886209478</v>
      </c>
      <c r="V44" t="s">
        <v>31</v>
      </c>
      <c r="W44" t="s">
        <v>48</v>
      </c>
      <c r="X44" s="1">
        <v>635.65710000000001</v>
      </c>
      <c r="Y44" s="1">
        <f>supply_chain_data3[Revenue generated]-(supply_chain_data3[Manufacturing costs]+supply_chain_data3[Shipping costs]+supply_chain_data3[Costs])</f>
        <v>1100.0032775299123</v>
      </c>
      <c r="Z44" s="5">
        <f>supply_chain_data3[Stock levels]+supply_chain_data3[Production volumes]+supply_chain_data3[Order quantities]-supply_chain_data3[Number of products sold]</f>
        <v>103</v>
      </c>
      <c r="AA44">
        <f>supply_chain_data3[Production volumes]*supply_chain_data3[Defect rates]</f>
        <v>884.12669666314969</v>
      </c>
    </row>
    <row r="45" spans="1:27" x14ac:dyDescent="0.25">
      <c r="A45" t="s">
        <v>24</v>
      </c>
      <c r="B45" t="s">
        <v>97</v>
      </c>
      <c r="C45" s="1">
        <v>11.7433</v>
      </c>
      <c r="D45">
        <v>6</v>
      </c>
      <c r="E45">
        <v>598</v>
      </c>
      <c r="F45" s="1">
        <v>5737.425599119023</v>
      </c>
      <c r="G45" t="s">
        <v>38</v>
      </c>
      <c r="H45">
        <v>36</v>
      </c>
      <c r="I45">
        <v>29</v>
      </c>
      <c r="J45">
        <v>85</v>
      </c>
      <c r="K45">
        <v>9</v>
      </c>
      <c r="L45" t="s">
        <v>27</v>
      </c>
      <c r="M45" s="1">
        <v>3.6940212683884543</v>
      </c>
      <c r="N45" t="s">
        <v>44</v>
      </c>
      <c r="O45" t="s">
        <v>29</v>
      </c>
      <c r="P45">
        <v>1</v>
      </c>
      <c r="Q45">
        <v>206</v>
      </c>
      <c r="R45">
        <v>23</v>
      </c>
      <c r="S45" s="1">
        <v>26.2774</v>
      </c>
      <c r="T45" t="s">
        <v>30</v>
      </c>
      <c r="U45">
        <v>0.37230476798509771</v>
      </c>
      <c r="V45" t="s">
        <v>40</v>
      </c>
      <c r="W45" t="s">
        <v>48</v>
      </c>
      <c r="X45" s="1">
        <v>716.04409999999996</v>
      </c>
      <c r="Y45" s="1">
        <f>supply_chain_data3[Revenue generated]-(supply_chain_data3[Manufacturing costs]+supply_chain_data3[Shipping costs]+supply_chain_data3[Costs])</f>
        <v>4991.4100778506345</v>
      </c>
      <c r="Z45" s="5">
        <f>supply_chain_data3[Stock levels]+supply_chain_data3[Production volumes]+supply_chain_data3[Order quantities]-supply_chain_data3[Number of products sold]</f>
        <v>-271</v>
      </c>
      <c r="AA45">
        <f>supply_chain_data3[Production volumes]*supply_chain_data3[Defect rates]</f>
        <v>76.694782204930121</v>
      </c>
    </row>
    <row r="46" spans="1:27" x14ac:dyDescent="0.25">
      <c r="A46" t="s">
        <v>57</v>
      </c>
      <c r="B46" t="s">
        <v>98</v>
      </c>
      <c r="C46" s="1">
        <v>51.355800000000002</v>
      </c>
      <c r="D46">
        <v>34</v>
      </c>
      <c r="E46">
        <v>919</v>
      </c>
      <c r="F46" s="1">
        <v>7152.2860494355145</v>
      </c>
      <c r="G46" t="s">
        <v>35</v>
      </c>
      <c r="H46">
        <v>13</v>
      </c>
      <c r="I46">
        <v>19</v>
      </c>
      <c r="J46">
        <v>72</v>
      </c>
      <c r="K46">
        <v>6</v>
      </c>
      <c r="L46" t="s">
        <v>43</v>
      </c>
      <c r="M46" s="1">
        <v>7.5774496573766932</v>
      </c>
      <c r="N46" t="s">
        <v>61</v>
      </c>
      <c r="O46" t="s">
        <v>50</v>
      </c>
      <c r="P46">
        <v>7</v>
      </c>
      <c r="Q46">
        <v>834</v>
      </c>
      <c r="R46">
        <v>18</v>
      </c>
      <c r="S46" s="1">
        <v>22.554099999999998</v>
      </c>
      <c r="T46" t="s">
        <v>46</v>
      </c>
      <c r="U46">
        <v>2.9626263204548819</v>
      </c>
      <c r="V46" t="s">
        <v>47</v>
      </c>
      <c r="W46" t="s">
        <v>48</v>
      </c>
      <c r="X46" s="1">
        <v>610.45330000000001</v>
      </c>
      <c r="Y46" s="1">
        <f>supply_chain_data3[Revenue generated]-(supply_chain_data3[Manufacturing costs]+supply_chain_data3[Shipping costs]+supply_chain_data3[Costs])</f>
        <v>6511.7011997781374</v>
      </c>
      <c r="Z46" s="5">
        <f>supply_chain_data3[Stock levels]+supply_chain_data3[Production volumes]+supply_chain_data3[Order quantities]-supply_chain_data3[Number of products sold]</f>
        <v>0</v>
      </c>
      <c r="AA46">
        <f>supply_chain_data3[Production volumes]*supply_chain_data3[Defect rates]</f>
        <v>2470.8303512593716</v>
      </c>
    </row>
    <row r="47" spans="1:27" x14ac:dyDescent="0.25">
      <c r="A47" t="s">
        <v>24</v>
      </c>
      <c r="B47" t="s">
        <v>99</v>
      </c>
      <c r="C47" s="1">
        <v>33.784100000000002</v>
      </c>
      <c r="D47">
        <v>1</v>
      </c>
      <c r="E47">
        <v>24</v>
      </c>
      <c r="F47" s="1">
        <v>5267.9568075105208</v>
      </c>
      <c r="G47" t="s">
        <v>55</v>
      </c>
      <c r="H47">
        <v>93</v>
      </c>
      <c r="I47">
        <v>7</v>
      </c>
      <c r="J47">
        <v>52</v>
      </c>
      <c r="K47">
        <v>6</v>
      </c>
      <c r="L47" t="s">
        <v>27</v>
      </c>
      <c r="M47" s="1">
        <v>5.2151550087119096</v>
      </c>
      <c r="N47" t="s">
        <v>61</v>
      </c>
      <c r="O47" t="s">
        <v>62</v>
      </c>
      <c r="P47">
        <v>25</v>
      </c>
      <c r="Q47">
        <v>794</v>
      </c>
      <c r="R47">
        <v>25</v>
      </c>
      <c r="S47" s="1">
        <v>66.3125</v>
      </c>
      <c r="T47" t="s">
        <v>64</v>
      </c>
      <c r="U47">
        <v>3.219604612084106</v>
      </c>
      <c r="V47" t="s">
        <v>47</v>
      </c>
      <c r="W47" t="s">
        <v>48</v>
      </c>
      <c r="X47" s="1">
        <v>495.3057</v>
      </c>
      <c r="Y47" s="1">
        <f>supply_chain_data3[Revenue generated]-(supply_chain_data3[Manufacturing costs]+supply_chain_data3[Shipping costs]+supply_chain_data3[Costs])</f>
        <v>4701.123452501809</v>
      </c>
      <c r="Z47" s="5">
        <f>supply_chain_data3[Stock levels]+supply_chain_data3[Production volumes]+supply_chain_data3[Order quantities]-supply_chain_data3[Number of products sold]</f>
        <v>915</v>
      </c>
      <c r="AA47">
        <f>supply_chain_data3[Production volumes]*supply_chain_data3[Defect rates]</f>
        <v>2556.36606199478</v>
      </c>
    </row>
    <row r="48" spans="1:27" x14ac:dyDescent="0.25">
      <c r="A48" t="s">
        <v>24</v>
      </c>
      <c r="B48" t="s">
        <v>100</v>
      </c>
      <c r="C48" s="1">
        <v>27.0822</v>
      </c>
      <c r="D48">
        <v>75</v>
      </c>
      <c r="E48">
        <v>859</v>
      </c>
      <c r="F48" s="1">
        <v>2556.7673606335957</v>
      </c>
      <c r="G48" t="s">
        <v>26</v>
      </c>
      <c r="H48">
        <v>92</v>
      </c>
      <c r="I48">
        <v>29</v>
      </c>
      <c r="J48">
        <v>6</v>
      </c>
      <c r="K48">
        <v>8</v>
      </c>
      <c r="L48" t="s">
        <v>27</v>
      </c>
      <c r="M48" s="1">
        <v>4.0709558370840826</v>
      </c>
      <c r="N48" t="s">
        <v>28</v>
      </c>
      <c r="O48" t="s">
        <v>62</v>
      </c>
      <c r="P48">
        <v>18</v>
      </c>
      <c r="Q48">
        <v>870</v>
      </c>
      <c r="R48">
        <v>23</v>
      </c>
      <c r="S48" s="1">
        <v>77.322400000000002</v>
      </c>
      <c r="T48" t="s">
        <v>30</v>
      </c>
      <c r="U48">
        <v>3.6486105925362033</v>
      </c>
      <c r="V48" t="s">
        <v>31</v>
      </c>
      <c r="W48" t="s">
        <v>32</v>
      </c>
      <c r="X48" s="1">
        <v>380.4359</v>
      </c>
      <c r="Y48" s="1">
        <f>supply_chain_data3[Revenue generated]-(supply_chain_data3[Manufacturing costs]+supply_chain_data3[Shipping costs]+supply_chain_data3[Costs])</f>
        <v>2094.9381047965117</v>
      </c>
      <c r="Z48" s="5">
        <f>supply_chain_data3[Stock levels]+supply_chain_data3[Production volumes]+supply_chain_data3[Order quantities]-supply_chain_data3[Number of products sold]</f>
        <v>109</v>
      </c>
      <c r="AA48">
        <f>supply_chain_data3[Production volumes]*supply_chain_data3[Defect rates]</f>
        <v>3174.2912155064969</v>
      </c>
    </row>
    <row r="49" spans="1:27" x14ac:dyDescent="0.25">
      <c r="A49" t="s">
        <v>33</v>
      </c>
      <c r="B49" t="s">
        <v>101</v>
      </c>
      <c r="C49" s="1">
        <v>95.712100000000007</v>
      </c>
      <c r="D49">
        <v>93</v>
      </c>
      <c r="E49">
        <v>910</v>
      </c>
      <c r="F49" s="1">
        <v>7089.4742499341864</v>
      </c>
      <c r="G49" t="s">
        <v>55</v>
      </c>
      <c r="H49">
        <v>4</v>
      </c>
      <c r="I49">
        <v>15</v>
      </c>
      <c r="J49">
        <v>51</v>
      </c>
      <c r="K49">
        <v>9</v>
      </c>
      <c r="L49" t="s">
        <v>27</v>
      </c>
      <c r="M49" s="1">
        <v>8.9787507559499709</v>
      </c>
      <c r="N49" t="s">
        <v>39</v>
      </c>
      <c r="O49" t="s">
        <v>45</v>
      </c>
      <c r="P49">
        <v>10</v>
      </c>
      <c r="Q49">
        <v>964</v>
      </c>
      <c r="R49">
        <v>20</v>
      </c>
      <c r="S49" s="1">
        <v>19.713000000000001</v>
      </c>
      <c r="T49" t="s">
        <v>30</v>
      </c>
      <c r="U49">
        <v>0.38057358671321373</v>
      </c>
      <c r="V49" t="s">
        <v>47</v>
      </c>
      <c r="W49" t="s">
        <v>48</v>
      </c>
      <c r="X49" s="1">
        <v>581.60239999999999</v>
      </c>
      <c r="Y49" s="1">
        <f>supply_chain_data3[Revenue generated]-(supply_chain_data3[Manufacturing costs]+supply_chain_data3[Shipping costs]+supply_chain_data3[Costs])</f>
        <v>6479.1800991782366</v>
      </c>
      <c r="Z49" s="5">
        <f>supply_chain_data3[Stock levels]+supply_chain_data3[Production volumes]+supply_chain_data3[Order quantities]-supply_chain_data3[Number of products sold]</f>
        <v>109</v>
      </c>
      <c r="AA49">
        <f>supply_chain_data3[Production volumes]*supply_chain_data3[Defect rates]</f>
        <v>366.87293759153806</v>
      </c>
    </row>
    <row r="50" spans="1:27" x14ac:dyDescent="0.25">
      <c r="A50" t="s">
        <v>24</v>
      </c>
      <c r="B50" t="s">
        <v>102</v>
      </c>
      <c r="C50" s="1">
        <v>76.035499999999999</v>
      </c>
      <c r="D50">
        <v>28</v>
      </c>
      <c r="E50">
        <v>29</v>
      </c>
      <c r="F50" s="1">
        <v>7397.0710045871801</v>
      </c>
      <c r="G50" t="s">
        <v>26</v>
      </c>
      <c r="H50">
        <v>30</v>
      </c>
      <c r="I50">
        <v>16</v>
      </c>
      <c r="J50">
        <v>9</v>
      </c>
      <c r="K50">
        <v>3</v>
      </c>
      <c r="L50" t="s">
        <v>43</v>
      </c>
      <c r="M50" s="1">
        <v>7.0958331565551385</v>
      </c>
      <c r="N50" t="s">
        <v>61</v>
      </c>
      <c r="O50" t="s">
        <v>29</v>
      </c>
      <c r="P50">
        <v>9</v>
      </c>
      <c r="Q50">
        <v>109</v>
      </c>
      <c r="R50">
        <v>18</v>
      </c>
      <c r="S50" s="1">
        <v>23.1264</v>
      </c>
      <c r="T50" t="s">
        <v>46</v>
      </c>
      <c r="U50">
        <v>1.6981125407144038</v>
      </c>
      <c r="V50" t="s">
        <v>47</v>
      </c>
      <c r="W50" t="s">
        <v>32</v>
      </c>
      <c r="X50" s="1">
        <v>768.65189999999996</v>
      </c>
      <c r="Y50" s="1">
        <f>supply_chain_data3[Revenue generated]-(supply_chain_data3[Manufacturing costs]+supply_chain_data3[Shipping costs]+supply_chain_data3[Costs])</f>
        <v>6598.1968714306249</v>
      </c>
      <c r="Z50" s="5">
        <f>supply_chain_data3[Stock levels]+supply_chain_data3[Production volumes]+supply_chain_data3[Order quantities]-supply_chain_data3[Number of products sold]</f>
        <v>119</v>
      </c>
      <c r="AA50">
        <f>supply_chain_data3[Production volumes]*supply_chain_data3[Defect rates]</f>
        <v>185.09426693787</v>
      </c>
    </row>
    <row r="51" spans="1:27" x14ac:dyDescent="0.25">
      <c r="A51" t="s">
        <v>57</v>
      </c>
      <c r="B51" t="s">
        <v>103</v>
      </c>
      <c r="C51" s="1">
        <v>78.897900000000007</v>
      </c>
      <c r="D51">
        <v>19</v>
      </c>
      <c r="E51">
        <v>99</v>
      </c>
      <c r="F51" s="1">
        <v>8001.6132065190022</v>
      </c>
      <c r="G51" t="s">
        <v>38</v>
      </c>
      <c r="H51">
        <v>97</v>
      </c>
      <c r="I51">
        <v>24</v>
      </c>
      <c r="J51">
        <v>9</v>
      </c>
      <c r="K51">
        <v>6</v>
      </c>
      <c r="L51" t="s">
        <v>43</v>
      </c>
      <c r="M51" s="1">
        <v>2.5056210329009154</v>
      </c>
      <c r="N51" t="s">
        <v>44</v>
      </c>
      <c r="O51" t="s">
        <v>50</v>
      </c>
      <c r="P51">
        <v>28</v>
      </c>
      <c r="Q51">
        <v>177</v>
      </c>
      <c r="R51">
        <v>28</v>
      </c>
      <c r="S51" s="1">
        <v>14.1478</v>
      </c>
      <c r="T51" t="s">
        <v>64</v>
      </c>
      <c r="U51">
        <v>2.8258139854001318</v>
      </c>
      <c r="V51" t="s">
        <v>47</v>
      </c>
      <c r="W51" t="s">
        <v>48</v>
      </c>
      <c r="X51" s="1">
        <v>336.89019999999999</v>
      </c>
      <c r="Y51" s="1">
        <f>supply_chain_data3[Revenue generated]-(supply_chain_data3[Manufacturing costs]+supply_chain_data3[Shipping costs]+supply_chain_data3[Costs])</f>
        <v>7648.0695854861015</v>
      </c>
      <c r="Z51" s="5">
        <f>supply_chain_data3[Stock levels]+supply_chain_data3[Production volumes]+supply_chain_data3[Order quantities]-supply_chain_data3[Number of products sold]</f>
        <v>184</v>
      </c>
      <c r="AA51">
        <f>supply_chain_data3[Production volumes]*supply_chain_data3[Defect rates]</f>
        <v>500.16907541582333</v>
      </c>
    </row>
    <row r="52" spans="1:27" x14ac:dyDescent="0.25">
      <c r="A52" t="s">
        <v>57</v>
      </c>
      <c r="B52" t="s">
        <v>104</v>
      </c>
      <c r="C52" s="1">
        <v>14.2035</v>
      </c>
      <c r="D52">
        <v>91</v>
      </c>
      <c r="E52">
        <v>633</v>
      </c>
      <c r="F52" s="1">
        <v>5910.8853896688988</v>
      </c>
      <c r="G52" t="s">
        <v>35</v>
      </c>
      <c r="H52">
        <v>31</v>
      </c>
      <c r="I52">
        <v>23</v>
      </c>
      <c r="J52">
        <v>82</v>
      </c>
      <c r="K52">
        <v>10</v>
      </c>
      <c r="L52" t="s">
        <v>36</v>
      </c>
      <c r="M52" s="1">
        <v>6.2478609149759912</v>
      </c>
      <c r="N52" t="s">
        <v>61</v>
      </c>
      <c r="O52" t="s">
        <v>50</v>
      </c>
      <c r="P52">
        <v>20</v>
      </c>
      <c r="Q52">
        <v>306</v>
      </c>
      <c r="R52">
        <v>21</v>
      </c>
      <c r="S52" s="1">
        <v>45.178800000000003</v>
      </c>
      <c r="T52" t="s">
        <v>46</v>
      </c>
      <c r="U52">
        <v>4.7548008046711852</v>
      </c>
      <c r="V52" t="s">
        <v>47</v>
      </c>
      <c r="W52" t="s">
        <v>32</v>
      </c>
      <c r="X52" s="1">
        <v>496.24869999999999</v>
      </c>
      <c r="Y52" s="1">
        <f>supply_chain_data3[Revenue generated]-(supply_chain_data3[Manufacturing costs]+supply_chain_data3[Shipping costs]+supply_chain_data3[Costs])</f>
        <v>5363.2100287539233</v>
      </c>
      <c r="Z52" s="5">
        <f>supply_chain_data3[Stock levels]+supply_chain_data3[Production volumes]+supply_chain_data3[Order quantities]-supply_chain_data3[Number of products sold]</f>
        <v>-214</v>
      </c>
      <c r="AA52">
        <f>supply_chain_data3[Production volumes]*supply_chain_data3[Defect rates]</f>
        <v>1454.9690462293827</v>
      </c>
    </row>
    <row r="53" spans="1:27" x14ac:dyDescent="0.25">
      <c r="A53" t="s">
        <v>24</v>
      </c>
      <c r="B53" t="s">
        <v>105</v>
      </c>
      <c r="C53" s="1">
        <v>26.700800000000001</v>
      </c>
      <c r="D53">
        <v>61</v>
      </c>
      <c r="E53">
        <v>154</v>
      </c>
      <c r="F53" s="1">
        <v>9866.465457979697</v>
      </c>
      <c r="G53" t="s">
        <v>55</v>
      </c>
      <c r="H53">
        <v>100</v>
      </c>
      <c r="I53">
        <v>4</v>
      </c>
      <c r="J53">
        <v>52</v>
      </c>
      <c r="K53">
        <v>1</v>
      </c>
      <c r="L53" t="s">
        <v>36</v>
      </c>
      <c r="M53" s="1">
        <v>4.7830005579476653</v>
      </c>
      <c r="N53" t="s">
        <v>44</v>
      </c>
      <c r="O53" t="s">
        <v>53</v>
      </c>
      <c r="P53">
        <v>18</v>
      </c>
      <c r="Q53">
        <v>673</v>
      </c>
      <c r="R53">
        <v>28</v>
      </c>
      <c r="S53" s="1">
        <v>14.190300000000001</v>
      </c>
      <c r="T53" t="s">
        <v>30</v>
      </c>
      <c r="U53">
        <v>1.7729511720835571</v>
      </c>
      <c r="V53" t="s">
        <v>31</v>
      </c>
      <c r="W53" t="s">
        <v>48</v>
      </c>
      <c r="X53" s="1">
        <v>694.98230000000001</v>
      </c>
      <c r="Y53" s="1">
        <f>supply_chain_data3[Revenue generated]-(supply_chain_data3[Manufacturing costs]+supply_chain_data3[Shipping costs]+supply_chain_data3[Costs])</f>
        <v>9152.50985742175</v>
      </c>
      <c r="Z53" s="5">
        <f>supply_chain_data3[Stock levels]+supply_chain_data3[Production volumes]+supply_chain_data3[Order quantities]-supply_chain_data3[Number of products sold]</f>
        <v>671</v>
      </c>
      <c r="AA53">
        <f>supply_chain_data3[Production volumes]*supply_chain_data3[Defect rates]</f>
        <v>1193.196138812234</v>
      </c>
    </row>
    <row r="54" spans="1:27" x14ac:dyDescent="0.25">
      <c r="A54" t="s">
        <v>33</v>
      </c>
      <c r="B54" t="s">
        <v>106</v>
      </c>
      <c r="C54" s="1">
        <v>98.031800000000004</v>
      </c>
      <c r="D54">
        <v>1</v>
      </c>
      <c r="E54">
        <v>820</v>
      </c>
      <c r="F54" s="1">
        <v>9435.7626089121295</v>
      </c>
      <c r="G54" t="s">
        <v>55</v>
      </c>
      <c r="H54">
        <v>64</v>
      </c>
      <c r="I54">
        <v>11</v>
      </c>
      <c r="J54">
        <v>11</v>
      </c>
      <c r="K54">
        <v>1</v>
      </c>
      <c r="L54" t="s">
        <v>27</v>
      </c>
      <c r="M54" s="1">
        <v>8.6310521797689468</v>
      </c>
      <c r="N54" t="s">
        <v>39</v>
      </c>
      <c r="O54" t="s">
        <v>29</v>
      </c>
      <c r="P54">
        <v>10</v>
      </c>
      <c r="Q54">
        <v>727</v>
      </c>
      <c r="R54">
        <v>27</v>
      </c>
      <c r="S54" s="1">
        <v>9.1668000000000003</v>
      </c>
      <c r="T54" t="s">
        <v>30</v>
      </c>
      <c r="U54">
        <v>2.1224716191438247</v>
      </c>
      <c r="V54" t="s">
        <v>40</v>
      </c>
      <c r="W54" t="s">
        <v>41</v>
      </c>
      <c r="X54" s="1">
        <v>602.89850000000001</v>
      </c>
      <c r="Y54" s="1">
        <f>supply_chain_data3[Revenue generated]-(supply_chain_data3[Manufacturing costs]+supply_chain_data3[Shipping costs]+supply_chain_data3[Costs])</f>
        <v>8815.0662567323598</v>
      </c>
      <c r="Z54" s="5">
        <f>supply_chain_data3[Stock levels]+supply_chain_data3[Production volumes]+supply_chain_data3[Order quantities]-supply_chain_data3[Number of products sold]</f>
        <v>-18</v>
      </c>
      <c r="AA54">
        <f>supply_chain_data3[Production volumes]*supply_chain_data3[Defect rates]</f>
        <v>1543.0368671175606</v>
      </c>
    </row>
    <row r="55" spans="1:27" x14ac:dyDescent="0.25">
      <c r="A55" t="s">
        <v>33</v>
      </c>
      <c r="B55" t="s">
        <v>107</v>
      </c>
      <c r="C55" s="1">
        <v>30.3415</v>
      </c>
      <c r="D55">
        <v>93</v>
      </c>
      <c r="E55">
        <v>242</v>
      </c>
      <c r="F55" s="1">
        <v>8232.3348294258212</v>
      </c>
      <c r="G55" t="s">
        <v>55</v>
      </c>
      <c r="H55">
        <v>96</v>
      </c>
      <c r="I55">
        <v>25</v>
      </c>
      <c r="J55">
        <v>54</v>
      </c>
      <c r="K55">
        <v>3</v>
      </c>
      <c r="L55" t="s">
        <v>27</v>
      </c>
      <c r="M55" s="1">
        <v>1.0134865660958963</v>
      </c>
      <c r="N55" t="s">
        <v>39</v>
      </c>
      <c r="O55" t="s">
        <v>50</v>
      </c>
      <c r="P55">
        <v>1</v>
      </c>
      <c r="Q55">
        <v>631</v>
      </c>
      <c r="R55">
        <v>17</v>
      </c>
      <c r="S55" s="1">
        <v>83.344099999999997</v>
      </c>
      <c r="T55" t="s">
        <v>30</v>
      </c>
      <c r="U55">
        <v>1.4103475760760271</v>
      </c>
      <c r="V55" t="s">
        <v>40</v>
      </c>
      <c r="W55" t="s">
        <v>32</v>
      </c>
      <c r="X55" s="1">
        <v>750.73779999999999</v>
      </c>
      <c r="Y55" s="1">
        <f>supply_chain_data3[Revenue generated]-(supply_chain_data3[Manufacturing costs]+supply_chain_data3[Shipping costs]+supply_chain_data3[Costs])</f>
        <v>7397.2394428597254</v>
      </c>
      <c r="Z55" s="5">
        <f>supply_chain_data3[Stock levels]+supply_chain_data3[Production volumes]+supply_chain_data3[Order quantities]-supply_chain_data3[Number of products sold]</f>
        <v>539</v>
      </c>
      <c r="AA55">
        <f>supply_chain_data3[Production volumes]*supply_chain_data3[Defect rates]</f>
        <v>889.92932050397314</v>
      </c>
    </row>
    <row r="56" spans="1:27" x14ac:dyDescent="0.25">
      <c r="A56" t="s">
        <v>24</v>
      </c>
      <c r="B56" t="s">
        <v>108</v>
      </c>
      <c r="C56" s="1">
        <v>31.1462</v>
      </c>
      <c r="D56">
        <v>11</v>
      </c>
      <c r="E56">
        <v>622</v>
      </c>
      <c r="F56" s="1">
        <v>6088.0214799408586</v>
      </c>
      <c r="G56" t="s">
        <v>26</v>
      </c>
      <c r="H56">
        <v>33</v>
      </c>
      <c r="I56">
        <v>22</v>
      </c>
      <c r="J56">
        <v>61</v>
      </c>
      <c r="K56">
        <v>3</v>
      </c>
      <c r="L56" t="s">
        <v>27</v>
      </c>
      <c r="M56" s="1">
        <v>4.3051034712876355</v>
      </c>
      <c r="N56" t="s">
        <v>39</v>
      </c>
      <c r="O56" t="s">
        <v>45</v>
      </c>
      <c r="P56">
        <v>26</v>
      </c>
      <c r="Q56">
        <v>497</v>
      </c>
      <c r="R56">
        <v>29</v>
      </c>
      <c r="S56" s="1">
        <v>30.186</v>
      </c>
      <c r="T56" t="s">
        <v>64</v>
      </c>
      <c r="U56">
        <v>2.4787719755397477</v>
      </c>
      <c r="V56" t="s">
        <v>31</v>
      </c>
      <c r="W56" t="s">
        <v>32</v>
      </c>
      <c r="X56" s="1">
        <v>814.07</v>
      </c>
      <c r="Y56" s="1">
        <f>supply_chain_data3[Revenue generated]-(supply_chain_data3[Manufacturing costs]+supply_chain_data3[Shipping costs]+supply_chain_data3[Costs])</f>
        <v>5239.4603764695712</v>
      </c>
      <c r="Z56" s="5">
        <f>supply_chain_data3[Stock levels]+supply_chain_data3[Production volumes]+supply_chain_data3[Order quantities]-supply_chain_data3[Number of products sold]</f>
        <v>-31</v>
      </c>
      <c r="AA56">
        <f>supply_chain_data3[Production volumes]*supply_chain_data3[Defect rates]</f>
        <v>1231.9496718432547</v>
      </c>
    </row>
    <row r="57" spans="1:27" x14ac:dyDescent="0.25">
      <c r="A57" t="s">
        <v>24</v>
      </c>
      <c r="B57" t="s">
        <v>109</v>
      </c>
      <c r="C57" s="1">
        <v>79.855099999999993</v>
      </c>
      <c r="D57">
        <v>16</v>
      </c>
      <c r="E57">
        <v>701</v>
      </c>
      <c r="F57" s="1">
        <v>2925.6751703038126</v>
      </c>
      <c r="G57" t="s">
        <v>55</v>
      </c>
      <c r="H57">
        <v>97</v>
      </c>
      <c r="I57">
        <v>11</v>
      </c>
      <c r="J57">
        <v>11</v>
      </c>
      <c r="K57">
        <v>5</v>
      </c>
      <c r="L57" t="s">
        <v>36</v>
      </c>
      <c r="M57" s="1">
        <v>5.0143649550309073</v>
      </c>
      <c r="N57" t="s">
        <v>61</v>
      </c>
      <c r="O57" t="s">
        <v>50</v>
      </c>
      <c r="P57">
        <v>27</v>
      </c>
      <c r="Q57">
        <v>918</v>
      </c>
      <c r="R57">
        <v>5</v>
      </c>
      <c r="S57" s="1">
        <v>30.323499999999999</v>
      </c>
      <c r="T57" t="s">
        <v>46</v>
      </c>
      <c r="U57">
        <v>4.5489196593963852</v>
      </c>
      <c r="V57" t="s">
        <v>56</v>
      </c>
      <c r="W57" t="s">
        <v>32</v>
      </c>
      <c r="X57" s="1">
        <v>323.0129</v>
      </c>
      <c r="Y57" s="1">
        <f>supply_chain_data3[Revenue generated]-(supply_chain_data3[Manufacturing costs]+supply_chain_data3[Shipping costs]+supply_chain_data3[Costs])</f>
        <v>2567.3244053487815</v>
      </c>
      <c r="Z57" s="5">
        <f>supply_chain_data3[Stock levels]+supply_chain_data3[Production volumes]+supply_chain_data3[Order quantities]-supply_chain_data3[Number of products sold]</f>
        <v>325</v>
      </c>
      <c r="AA57">
        <f>supply_chain_data3[Production volumes]*supply_chain_data3[Defect rates]</f>
        <v>4175.9082473258813</v>
      </c>
    </row>
    <row r="58" spans="1:27" x14ac:dyDescent="0.25">
      <c r="A58" t="s">
        <v>33</v>
      </c>
      <c r="B58" t="s">
        <v>110</v>
      </c>
      <c r="C58" s="1">
        <v>20.9864</v>
      </c>
      <c r="D58">
        <v>90</v>
      </c>
      <c r="E58">
        <v>93</v>
      </c>
      <c r="F58" s="1">
        <v>4767.020484344137</v>
      </c>
      <c r="G58" t="s">
        <v>26</v>
      </c>
      <c r="H58">
        <v>25</v>
      </c>
      <c r="I58">
        <v>23</v>
      </c>
      <c r="J58">
        <v>83</v>
      </c>
      <c r="K58">
        <v>5</v>
      </c>
      <c r="L58" t="s">
        <v>43</v>
      </c>
      <c r="M58" s="1">
        <v>1.7744297140717396</v>
      </c>
      <c r="N58" t="s">
        <v>39</v>
      </c>
      <c r="O58" t="s">
        <v>29</v>
      </c>
      <c r="P58">
        <v>24</v>
      </c>
      <c r="Q58">
        <v>826</v>
      </c>
      <c r="R58">
        <v>28</v>
      </c>
      <c r="S58" s="1">
        <v>12.8363</v>
      </c>
      <c r="T58" t="s">
        <v>64</v>
      </c>
      <c r="U58">
        <v>1.1737554953874541</v>
      </c>
      <c r="V58" t="s">
        <v>40</v>
      </c>
      <c r="W58" t="s">
        <v>32</v>
      </c>
      <c r="X58" s="1">
        <v>832.21079999999995</v>
      </c>
      <c r="Y58" s="1">
        <f>supply_chain_data3[Revenue generated]-(supply_chain_data3[Manufacturing costs]+supply_chain_data3[Shipping costs]+supply_chain_data3[Costs])</f>
        <v>3920.1989546300651</v>
      </c>
      <c r="Z58" s="5">
        <f>supply_chain_data3[Stock levels]+supply_chain_data3[Production volumes]+supply_chain_data3[Order quantities]-supply_chain_data3[Number of products sold]</f>
        <v>841</v>
      </c>
      <c r="AA58">
        <f>supply_chain_data3[Production volumes]*supply_chain_data3[Defect rates]</f>
        <v>969.52203919003705</v>
      </c>
    </row>
    <row r="59" spans="1:27" x14ac:dyDescent="0.25">
      <c r="A59" t="s">
        <v>24</v>
      </c>
      <c r="B59" t="s">
        <v>111</v>
      </c>
      <c r="C59" s="1">
        <v>49.263199999999998</v>
      </c>
      <c r="D59">
        <v>65</v>
      </c>
      <c r="E59">
        <v>227</v>
      </c>
      <c r="F59" s="1">
        <v>1605.8669003924058</v>
      </c>
      <c r="G59" t="s">
        <v>38</v>
      </c>
      <c r="H59">
        <v>5</v>
      </c>
      <c r="I59">
        <v>18</v>
      </c>
      <c r="J59">
        <v>51</v>
      </c>
      <c r="K59">
        <v>1</v>
      </c>
      <c r="L59" t="s">
        <v>27</v>
      </c>
      <c r="M59" s="1">
        <v>9.1605585353818704</v>
      </c>
      <c r="N59" t="s">
        <v>61</v>
      </c>
      <c r="O59" t="s">
        <v>50</v>
      </c>
      <c r="P59">
        <v>21</v>
      </c>
      <c r="Q59">
        <v>588</v>
      </c>
      <c r="R59">
        <v>25</v>
      </c>
      <c r="S59" s="1">
        <v>67.779600000000002</v>
      </c>
      <c r="T59" t="s">
        <v>30</v>
      </c>
      <c r="U59">
        <v>2.511174830212707</v>
      </c>
      <c r="V59" t="s">
        <v>47</v>
      </c>
      <c r="W59" t="s">
        <v>48</v>
      </c>
      <c r="X59" s="1">
        <v>482.19119999999998</v>
      </c>
      <c r="Y59" s="1">
        <f>supply_chain_data3[Revenue generated]-(supply_chain_data3[Manufacturing costs]+supply_chain_data3[Shipping costs]+supply_chain_data3[Costs])</f>
        <v>1046.7355418570239</v>
      </c>
      <c r="Z59" s="5">
        <f>supply_chain_data3[Stock levels]+supply_chain_data3[Production volumes]+supply_chain_data3[Order quantities]-supply_chain_data3[Number of products sold]</f>
        <v>417</v>
      </c>
      <c r="AA59">
        <f>supply_chain_data3[Production volumes]*supply_chain_data3[Defect rates]</f>
        <v>1476.5708001650717</v>
      </c>
    </row>
    <row r="60" spans="1:27" x14ac:dyDescent="0.25">
      <c r="A60" t="s">
        <v>33</v>
      </c>
      <c r="B60" t="s">
        <v>112</v>
      </c>
      <c r="C60" s="1">
        <v>59.8416</v>
      </c>
      <c r="D60">
        <v>81</v>
      </c>
      <c r="E60">
        <v>896</v>
      </c>
      <c r="F60" s="1">
        <v>2021.1498103371077</v>
      </c>
      <c r="G60" t="s">
        <v>26</v>
      </c>
      <c r="H60">
        <v>10</v>
      </c>
      <c r="I60">
        <v>5</v>
      </c>
      <c r="J60">
        <v>44</v>
      </c>
      <c r="K60">
        <v>7</v>
      </c>
      <c r="L60" t="s">
        <v>36</v>
      </c>
      <c r="M60" s="1">
        <v>4.9384385647120901</v>
      </c>
      <c r="N60" t="s">
        <v>28</v>
      </c>
      <c r="O60" t="s">
        <v>50</v>
      </c>
      <c r="P60">
        <v>18</v>
      </c>
      <c r="Q60">
        <v>396</v>
      </c>
      <c r="R60">
        <v>7</v>
      </c>
      <c r="S60" s="1">
        <v>65.047399999999996</v>
      </c>
      <c r="T60" t="s">
        <v>46</v>
      </c>
      <c r="U60">
        <v>1.7303747198591968</v>
      </c>
      <c r="V60" t="s">
        <v>31</v>
      </c>
      <c r="W60" t="s">
        <v>32</v>
      </c>
      <c r="X60" s="1">
        <v>110.3643</v>
      </c>
      <c r="Y60" s="1">
        <f>supply_chain_data3[Revenue generated]-(supply_chain_data3[Manufacturing costs]+supply_chain_data3[Shipping costs]+supply_chain_data3[Costs])</f>
        <v>1840.7996717723956</v>
      </c>
      <c r="Z60" s="5">
        <f>supply_chain_data3[Stock levels]+supply_chain_data3[Production volumes]+supply_chain_data3[Order quantities]-supply_chain_data3[Number of products sold]</f>
        <v>-446</v>
      </c>
      <c r="AA60">
        <f>supply_chain_data3[Production volumes]*supply_chain_data3[Defect rates]</f>
        <v>685.22838906424192</v>
      </c>
    </row>
    <row r="61" spans="1:27" x14ac:dyDescent="0.25">
      <c r="A61" t="s">
        <v>57</v>
      </c>
      <c r="B61" t="s">
        <v>113</v>
      </c>
      <c r="C61" s="1">
        <v>63.828400000000002</v>
      </c>
      <c r="D61">
        <v>30</v>
      </c>
      <c r="E61">
        <v>484</v>
      </c>
      <c r="F61" s="1">
        <v>1061.618523013288</v>
      </c>
      <c r="G61" t="s">
        <v>26</v>
      </c>
      <c r="H61">
        <v>100</v>
      </c>
      <c r="I61">
        <v>16</v>
      </c>
      <c r="J61">
        <v>26</v>
      </c>
      <c r="K61">
        <v>7</v>
      </c>
      <c r="L61" t="s">
        <v>27</v>
      </c>
      <c r="M61" s="1">
        <v>7.2937225968677284</v>
      </c>
      <c r="N61" t="s">
        <v>39</v>
      </c>
      <c r="O61" t="s">
        <v>45</v>
      </c>
      <c r="P61">
        <v>11</v>
      </c>
      <c r="Q61">
        <v>176</v>
      </c>
      <c r="R61">
        <v>4</v>
      </c>
      <c r="S61" s="1">
        <v>1.9008</v>
      </c>
      <c r="T61" t="s">
        <v>46</v>
      </c>
      <c r="U61">
        <v>0.4471940154638232</v>
      </c>
      <c r="V61" t="s">
        <v>40</v>
      </c>
      <c r="W61" t="s">
        <v>48</v>
      </c>
      <c r="X61" s="1">
        <v>312.57429999999999</v>
      </c>
      <c r="Y61" s="1">
        <f>supply_chain_data3[Revenue generated]-(supply_chain_data3[Manufacturing costs]+supply_chain_data3[Shipping costs]+supply_chain_data3[Costs])</f>
        <v>739.84970041642032</v>
      </c>
      <c r="Z61" s="5">
        <f>supply_chain_data3[Stock levels]+supply_chain_data3[Production volumes]+supply_chain_data3[Order quantities]-supply_chain_data3[Number of products sold]</f>
        <v>-182</v>
      </c>
      <c r="AA61">
        <f>supply_chain_data3[Production volumes]*supply_chain_data3[Defect rates]</f>
        <v>78.706146721632877</v>
      </c>
    </row>
    <row r="62" spans="1:27" x14ac:dyDescent="0.25">
      <c r="A62" t="s">
        <v>33</v>
      </c>
      <c r="B62" t="s">
        <v>114</v>
      </c>
      <c r="C62" s="1">
        <v>17.027999999999999</v>
      </c>
      <c r="D62">
        <v>16</v>
      </c>
      <c r="E62">
        <v>380</v>
      </c>
      <c r="F62" s="1">
        <v>8864.0843495864356</v>
      </c>
      <c r="G62" t="s">
        <v>35</v>
      </c>
      <c r="H62">
        <v>41</v>
      </c>
      <c r="I62">
        <v>27</v>
      </c>
      <c r="J62">
        <v>72</v>
      </c>
      <c r="K62">
        <v>8</v>
      </c>
      <c r="L62" t="s">
        <v>43</v>
      </c>
      <c r="M62" s="1">
        <v>4.3813681581023145</v>
      </c>
      <c r="N62" t="s">
        <v>52</v>
      </c>
      <c r="O62" t="s">
        <v>29</v>
      </c>
      <c r="P62">
        <v>29</v>
      </c>
      <c r="Q62">
        <v>929</v>
      </c>
      <c r="R62">
        <v>24</v>
      </c>
      <c r="S62" s="1">
        <v>87.213099999999997</v>
      </c>
      <c r="T62" t="s">
        <v>46</v>
      </c>
      <c r="U62">
        <v>2.8530906166490539</v>
      </c>
      <c r="V62" t="s">
        <v>47</v>
      </c>
      <c r="W62" t="s">
        <v>48</v>
      </c>
      <c r="X62" s="1">
        <v>430.16910000000001</v>
      </c>
      <c r="Y62" s="1">
        <f>supply_chain_data3[Revenue generated]-(supply_chain_data3[Manufacturing costs]+supply_chain_data3[Shipping costs]+supply_chain_data3[Costs])</f>
        <v>8342.3207814283342</v>
      </c>
      <c r="Z62" s="5">
        <f>supply_chain_data3[Stock levels]+supply_chain_data3[Production volumes]+supply_chain_data3[Order quantities]-supply_chain_data3[Number of products sold]</f>
        <v>662</v>
      </c>
      <c r="AA62">
        <f>supply_chain_data3[Production volumes]*supply_chain_data3[Defect rates]</f>
        <v>2650.5211828669712</v>
      </c>
    </row>
    <row r="63" spans="1:27" x14ac:dyDescent="0.25">
      <c r="A63" t="s">
        <v>24</v>
      </c>
      <c r="B63" t="s">
        <v>115</v>
      </c>
      <c r="C63" s="1">
        <v>52.028700000000001</v>
      </c>
      <c r="D63">
        <v>23</v>
      </c>
      <c r="E63">
        <v>117</v>
      </c>
      <c r="F63" s="1">
        <v>6885.5893508962527</v>
      </c>
      <c r="G63" t="s">
        <v>38</v>
      </c>
      <c r="H63">
        <v>32</v>
      </c>
      <c r="I63">
        <v>23</v>
      </c>
      <c r="J63">
        <v>36</v>
      </c>
      <c r="K63">
        <v>7</v>
      </c>
      <c r="L63" t="s">
        <v>43</v>
      </c>
      <c r="M63" s="1">
        <v>9.0303404225219488</v>
      </c>
      <c r="N63" t="s">
        <v>52</v>
      </c>
      <c r="O63" t="s">
        <v>45</v>
      </c>
      <c r="P63">
        <v>14</v>
      </c>
      <c r="Q63">
        <v>480</v>
      </c>
      <c r="R63">
        <v>12</v>
      </c>
      <c r="S63" s="1">
        <v>78.702399999999997</v>
      </c>
      <c r="T63" t="s">
        <v>46</v>
      </c>
      <c r="U63">
        <v>4.3674705382050529</v>
      </c>
      <c r="V63" t="s">
        <v>40</v>
      </c>
      <c r="W63" t="s">
        <v>48</v>
      </c>
      <c r="X63" s="1">
        <v>164.3665</v>
      </c>
      <c r="Y63" s="1">
        <f>supply_chain_data3[Revenue generated]-(supply_chain_data3[Manufacturing costs]+supply_chain_data3[Shipping costs]+supply_chain_data3[Costs])</f>
        <v>6633.490110473731</v>
      </c>
      <c r="Z63" s="5">
        <f>supply_chain_data3[Stock levels]+supply_chain_data3[Production volumes]+supply_chain_data3[Order quantities]-supply_chain_data3[Number of products sold]</f>
        <v>431</v>
      </c>
      <c r="AA63">
        <f>supply_chain_data3[Production volumes]*supply_chain_data3[Defect rates]</f>
        <v>2096.3858583384254</v>
      </c>
    </row>
    <row r="64" spans="1:27" x14ac:dyDescent="0.25">
      <c r="A64" t="s">
        <v>57</v>
      </c>
      <c r="B64" t="s">
        <v>116</v>
      </c>
      <c r="C64" s="1">
        <v>72.796400000000006</v>
      </c>
      <c r="D64">
        <v>89</v>
      </c>
      <c r="E64">
        <v>270</v>
      </c>
      <c r="F64" s="1">
        <v>3899.7468337292244</v>
      </c>
      <c r="G64" t="s">
        <v>38</v>
      </c>
      <c r="H64">
        <v>86</v>
      </c>
      <c r="I64">
        <v>2</v>
      </c>
      <c r="J64">
        <v>40</v>
      </c>
      <c r="K64">
        <v>7</v>
      </c>
      <c r="L64" t="s">
        <v>43</v>
      </c>
      <c r="M64" s="1">
        <v>7.2917013887767759</v>
      </c>
      <c r="N64" t="s">
        <v>61</v>
      </c>
      <c r="O64" t="s">
        <v>29</v>
      </c>
      <c r="P64">
        <v>13</v>
      </c>
      <c r="Q64">
        <v>751</v>
      </c>
      <c r="R64">
        <v>14</v>
      </c>
      <c r="S64" s="1">
        <v>21.0486</v>
      </c>
      <c r="T64" t="s">
        <v>64</v>
      </c>
      <c r="U64">
        <v>1.8740014040443747</v>
      </c>
      <c r="V64" t="s">
        <v>56</v>
      </c>
      <c r="W64" t="s">
        <v>41</v>
      </c>
      <c r="X64" s="1">
        <v>320.84649999999999</v>
      </c>
      <c r="Y64" s="1">
        <f>supply_chain_data3[Revenue generated]-(supply_chain_data3[Manufacturing costs]+supply_chain_data3[Shipping costs]+supply_chain_data3[Costs])</f>
        <v>3550.5600323404478</v>
      </c>
      <c r="Z64" s="5">
        <f>supply_chain_data3[Stock levels]+supply_chain_data3[Production volumes]+supply_chain_data3[Order quantities]-supply_chain_data3[Number of products sold]</f>
        <v>607</v>
      </c>
      <c r="AA64">
        <f>supply_chain_data3[Production volumes]*supply_chain_data3[Defect rates]</f>
        <v>1407.3750544373254</v>
      </c>
    </row>
    <row r="65" spans="1:27" x14ac:dyDescent="0.25">
      <c r="A65" t="s">
        <v>33</v>
      </c>
      <c r="B65" t="s">
        <v>117</v>
      </c>
      <c r="C65" s="1">
        <v>13.0174</v>
      </c>
      <c r="D65">
        <v>55</v>
      </c>
      <c r="E65">
        <v>246</v>
      </c>
      <c r="F65" s="1">
        <v>4256.9491408502254</v>
      </c>
      <c r="G65" t="s">
        <v>26</v>
      </c>
      <c r="H65">
        <v>54</v>
      </c>
      <c r="I65">
        <v>19</v>
      </c>
      <c r="J65">
        <v>10</v>
      </c>
      <c r="K65">
        <v>4</v>
      </c>
      <c r="L65" t="s">
        <v>36</v>
      </c>
      <c r="M65" s="1">
        <v>2.45793352798733</v>
      </c>
      <c r="N65" t="s">
        <v>28</v>
      </c>
      <c r="O65" t="s">
        <v>53</v>
      </c>
      <c r="P65">
        <v>18</v>
      </c>
      <c r="Q65">
        <v>736</v>
      </c>
      <c r="R65">
        <v>10</v>
      </c>
      <c r="S65" s="1">
        <v>20.074999999999999</v>
      </c>
      <c r="T65" t="s">
        <v>30</v>
      </c>
      <c r="U65">
        <v>3.6328432903821337</v>
      </c>
      <c r="V65" t="s">
        <v>56</v>
      </c>
      <c r="W65" t="s">
        <v>48</v>
      </c>
      <c r="X65" s="1">
        <v>687.28620000000001</v>
      </c>
      <c r="Y65" s="1">
        <f>supply_chain_data3[Revenue generated]-(supply_chain_data3[Manufacturing costs]+supply_chain_data3[Shipping costs]+supply_chain_data3[Costs])</f>
        <v>3547.1300073222383</v>
      </c>
      <c r="Z65" s="5">
        <f>supply_chain_data3[Stock levels]+supply_chain_data3[Production volumes]+supply_chain_data3[Order quantities]-supply_chain_data3[Number of products sold]</f>
        <v>554</v>
      </c>
      <c r="AA65">
        <f>supply_chain_data3[Production volumes]*supply_chain_data3[Defect rates]</f>
        <v>2673.7726617212502</v>
      </c>
    </row>
    <row r="66" spans="1:27" x14ac:dyDescent="0.25">
      <c r="A66" t="s">
        <v>33</v>
      </c>
      <c r="B66" t="s">
        <v>118</v>
      </c>
      <c r="C66" s="1">
        <v>89.634100000000004</v>
      </c>
      <c r="D66">
        <v>11</v>
      </c>
      <c r="E66">
        <v>134</v>
      </c>
      <c r="F66" s="1">
        <v>8458.7308783671779</v>
      </c>
      <c r="G66" t="s">
        <v>35</v>
      </c>
      <c r="H66">
        <v>73</v>
      </c>
      <c r="I66">
        <v>27</v>
      </c>
      <c r="J66">
        <v>75</v>
      </c>
      <c r="K66">
        <v>6</v>
      </c>
      <c r="L66" t="s">
        <v>43</v>
      </c>
      <c r="M66" s="1">
        <v>4.5853534681946524</v>
      </c>
      <c r="N66" t="s">
        <v>39</v>
      </c>
      <c r="O66" t="s">
        <v>50</v>
      </c>
      <c r="P66">
        <v>17</v>
      </c>
      <c r="Q66">
        <v>328</v>
      </c>
      <c r="R66">
        <v>6</v>
      </c>
      <c r="S66" s="1">
        <v>8.6929999999999996</v>
      </c>
      <c r="T66" t="s">
        <v>46</v>
      </c>
      <c r="U66">
        <v>0.15948631471751462</v>
      </c>
      <c r="V66" t="s">
        <v>40</v>
      </c>
      <c r="W66" t="s">
        <v>41</v>
      </c>
      <c r="X66" s="1">
        <v>771.2251</v>
      </c>
      <c r="Y66" s="1">
        <f>supply_chain_data3[Revenue generated]-(supply_chain_data3[Manufacturing costs]+supply_chain_data3[Shipping costs]+supply_chain_data3[Costs])</f>
        <v>7674.2274248989834</v>
      </c>
      <c r="Z66" s="5">
        <f>supply_chain_data3[Stock levels]+supply_chain_data3[Production volumes]+supply_chain_data3[Order quantities]-supply_chain_data3[Number of products sold]</f>
        <v>342</v>
      </c>
      <c r="AA66">
        <f>supply_chain_data3[Production volumes]*supply_chain_data3[Defect rates]</f>
        <v>52.311511227344795</v>
      </c>
    </row>
    <row r="67" spans="1:27" x14ac:dyDescent="0.25">
      <c r="A67" t="s">
        <v>33</v>
      </c>
      <c r="B67" t="s">
        <v>119</v>
      </c>
      <c r="C67" s="1">
        <v>33.697699999999998</v>
      </c>
      <c r="D67">
        <v>72</v>
      </c>
      <c r="E67">
        <v>457</v>
      </c>
      <c r="F67" s="1">
        <v>8354.5796864819949</v>
      </c>
      <c r="G67" t="s">
        <v>55</v>
      </c>
      <c r="H67">
        <v>57</v>
      </c>
      <c r="I67">
        <v>24</v>
      </c>
      <c r="J67">
        <v>54</v>
      </c>
      <c r="K67">
        <v>8</v>
      </c>
      <c r="L67" t="s">
        <v>43</v>
      </c>
      <c r="M67" s="1">
        <v>6.5805413478845951</v>
      </c>
      <c r="N67" t="s">
        <v>44</v>
      </c>
      <c r="O67" t="s">
        <v>45</v>
      </c>
      <c r="P67">
        <v>16</v>
      </c>
      <c r="Q67">
        <v>358</v>
      </c>
      <c r="R67">
        <v>21</v>
      </c>
      <c r="S67" s="1">
        <v>1.5972</v>
      </c>
      <c r="T67" t="s">
        <v>46</v>
      </c>
      <c r="U67">
        <v>4.911095954842331</v>
      </c>
      <c r="V67" t="s">
        <v>47</v>
      </c>
      <c r="W67" t="s">
        <v>41</v>
      </c>
      <c r="X67" s="1">
        <v>555.85910000000001</v>
      </c>
      <c r="Y67" s="1">
        <f>supply_chain_data3[Revenue generated]-(supply_chain_data3[Manufacturing costs]+supply_chain_data3[Shipping costs]+supply_chain_data3[Costs])</f>
        <v>7790.5428451341104</v>
      </c>
      <c r="Z67" s="5">
        <f>supply_chain_data3[Stock levels]+supply_chain_data3[Production volumes]+supply_chain_data3[Order quantities]-supply_chain_data3[Number of products sold]</f>
        <v>12</v>
      </c>
      <c r="AA67">
        <f>supply_chain_data3[Production volumes]*supply_chain_data3[Defect rates]</f>
        <v>1758.1723518335546</v>
      </c>
    </row>
    <row r="68" spans="1:27" x14ac:dyDescent="0.25">
      <c r="A68" t="s">
        <v>33</v>
      </c>
      <c r="B68" t="s">
        <v>120</v>
      </c>
      <c r="C68" s="1">
        <v>26.0349</v>
      </c>
      <c r="D68">
        <v>52</v>
      </c>
      <c r="E68">
        <v>704</v>
      </c>
      <c r="F68" s="1">
        <v>8367.721618020154</v>
      </c>
      <c r="G68" t="s">
        <v>35</v>
      </c>
      <c r="H68">
        <v>13</v>
      </c>
      <c r="I68">
        <v>17</v>
      </c>
      <c r="J68">
        <v>19</v>
      </c>
      <c r="K68">
        <v>8</v>
      </c>
      <c r="L68" t="s">
        <v>36</v>
      </c>
      <c r="M68" s="1">
        <v>2.2161427287713633</v>
      </c>
      <c r="N68" t="s">
        <v>44</v>
      </c>
      <c r="O68" t="s">
        <v>45</v>
      </c>
      <c r="P68">
        <v>24</v>
      </c>
      <c r="Q68">
        <v>867</v>
      </c>
      <c r="R68">
        <v>28</v>
      </c>
      <c r="S68" s="1">
        <v>42.084400000000002</v>
      </c>
      <c r="T68" t="s">
        <v>46</v>
      </c>
      <c r="U68">
        <v>3.4480632883402618</v>
      </c>
      <c r="V68" t="s">
        <v>31</v>
      </c>
      <c r="W68" t="s">
        <v>48</v>
      </c>
      <c r="X68" s="1">
        <v>393.8433</v>
      </c>
      <c r="Y68" s="1">
        <f>supply_chain_data3[Revenue generated]-(supply_chain_data3[Manufacturing costs]+supply_chain_data3[Shipping costs]+supply_chain_data3[Costs])</f>
        <v>7929.5777752913827</v>
      </c>
      <c r="Z68" s="5">
        <f>supply_chain_data3[Stock levels]+supply_chain_data3[Production volumes]+supply_chain_data3[Order quantities]-supply_chain_data3[Number of products sold]</f>
        <v>195</v>
      </c>
      <c r="AA68">
        <f>supply_chain_data3[Production volumes]*supply_chain_data3[Defect rates]</f>
        <v>2989.4708709910069</v>
      </c>
    </row>
    <row r="69" spans="1:27" x14ac:dyDescent="0.25">
      <c r="A69" t="s">
        <v>33</v>
      </c>
      <c r="B69" t="s">
        <v>121</v>
      </c>
      <c r="C69" s="1">
        <v>87.755399999999995</v>
      </c>
      <c r="D69">
        <v>16</v>
      </c>
      <c r="E69">
        <v>513</v>
      </c>
      <c r="F69" s="1">
        <v>9473.7980325083372</v>
      </c>
      <c r="G69" t="s">
        <v>38</v>
      </c>
      <c r="H69">
        <v>12</v>
      </c>
      <c r="I69">
        <v>9</v>
      </c>
      <c r="J69">
        <v>71</v>
      </c>
      <c r="K69">
        <v>9</v>
      </c>
      <c r="L69" t="s">
        <v>43</v>
      </c>
      <c r="M69" s="1">
        <v>9.147811544710633</v>
      </c>
      <c r="N69" t="s">
        <v>39</v>
      </c>
      <c r="O69" t="s">
        <v>29</v>
      </c>
      <c r="P69">
        <v>10</v>
      </c>
      <c r="Q69">
        <v>198</v>
      </c>
      <c r="R69">
        <v>11</v>
      </c>
      <c r="S69" s="1">
        <v>7.0579000000000001</v>
      </c>
      <c r="T69" t="s">
        <v>64</v>
      </c>
      <c r="U69">
        <v>0.13195544431181483</v>
      </c>
      <c r="V69" t="s">
        <v>56</v>
      </c>
      <c r="W69" t="s">
        <v>41</v>
      </c>
      <c r="X69" s="1">
        <v>169.27180000000001</v>
      </c>
      <c r="Y69" s="1">
        <f>supply_chain_data3[Revenue generated]-(supply_chain_data3[Manufacturing costs]+supply_chain_data3[Shipping costs]+supply_chain_data3[Costs])</f>
        <v>9288.3205209636271</v>
      </c>
      <c r="Z69" s="5">
        <f>supply_chain_data3[Stock levels]+supply_chain_data3[Production volumes]+supply_chain_data3[Order quantities]-supply_chain_data3[Number of products sold]</f>
        <v>-232</v>
      </c>
      <c r="AA69">
        <f>supply_chain_data3[Production volumes]*supply_chain_data3[Defect rates]</f>
        <v>26.127177973739336</v>
      </c>
    </row>
    <row r="70" spans="1:27" x14ac:dyDescent="0.25">
      <c r="A70" t="s">
        <v>24</v>
      </c>
      <c r="B70" t="s">
        <v>122</v>
      </c>
      <c r="C70" s="1">
        <v>37.931800000000003</v>
      </c>
      <c r="D70">
        <v>29</v>
      </c>
      <c r="E70">
        <v>163</v>
      </c>
      <c r="F70" s="1">
        <v>3550.2184327809919</v>
      </c>
      <c r="G70" t="s">
        <v>26</v>
      </c>
      <c r="H70">
        <v>0</v>
      </c>
      <c r="I70">
        <v>8</v>
      </c>
      <c r="J70">
        <v>58</v>
      </c>
      <c r="K70">
        <v>8</v>
      </c>
      <c r="L70" t="s">
        <v>27</v>
      </c>
      <c r="M70" s="1">
        <v>1.1942518648849991</v>
      </c>
      <c r="N70" t="s">
        <v>61</v>
      </c>
      <c r="O70" t="s">
        <v>53</v>
      </c>
      <c r="P70">
        <v>2</v>
      </c>
      <c r="Q70">
        <v>375</v>
      </c>
      <c r="R70">
        <v>18</v>
      </c>
      <c r="S70" s="1">
        <v>97.113600000000005</v>
      </c>
      <c r="T70" t="s">
        <v>46</v>
      </c>
      <c r="U70">
        <v>1.9834678721741801</v>
      </c>
      <c r="V70" t="s">
        <v>47</v>
      </c>
      <c r="W70" t="s">
        <v>48</v>
      </c>
      <c r="X70" s="1">
        <v>299.7063</v>
      </c>
      <c r="Y70" s="1">
        <f>supply_chain_data3[Revenue generated]-(supply_chain_data3[Manufacturing costs]+supply_chain_data3[Shipping costs]+supply_chain_data3[Costs])</f>
        <v>3152.2042809161067</v>
      </c>
      <c r="Z70" s="5">
        <f>supply_chain_data3[Stock levels]+supply_chain_data3[Production volumes]+supply_chain_data3[Order quantities]-supply_chain_data3[Number of products sold]</f>
        <v>270</v>
      </c>
      <c r="AA70">
        <f>supply_chain_data3[Production volumes]*supply_chain_data3[Defect rates]</f>
        <v>743.80045206531759</v>
      </c>
    </row>
    <row r="71" spans="1:27" x14ac:dyDescent="0.25">
      <c r="A71" t="s">
        <v>33</v>
      </c>
      <c r="B71" t="s">
        <v>123</v>
      </c>
      <c r="C71" s="1">
        <v>54.865499999999997</v>
      </c>
      <c r="D71">
        <v>62</v>
      </c>
      <c r="E71">
        <v>511</v>
      </c>
      <c r="F71" s="1">
        <v>1752.3810874841247</v>
      </c>
      <c r="G71" t="s">
        <v>26</v>
      </c>
      <c r="H71">
        <v>95</v>
      </c>
      <c r="I71">
        <v>1</v>
      </c>
      <c r="J71">
        <v>27</v>
      </c>
      <c r="K71">
        <v>3</v>
      </c>
      <c r="L71" t="s">
        <v>27</v>
      </c>
      <c r="M71" s="1">
        <v>9.7052867901203488</v>
      </c>
      <c r="N71" t="s">
        <v>52</v>
      </c>
      <c r="O71" t="s">
        <v>45</v>
      </c>
      <c r="P71">
        <v>9</v>
      </c>
      <c r="Q71">
        <v>862</v>
      </c>
      <c r="R71">
        <v>7</v>
      </c>
      <c r="S71" s="1">
        <v>77.627799999999993</v>
      </c>
      <c r="T71" t="s">
        <v>30</v>
      </c>
      <c r="U71">
        <v>1.3623879886491086</v>
      </c>
      <c r="V71" t="s">
        <v>40</v>
      </c>
      <c r="W71" t="s">
        <v>48</v>
      </c>
      <c r="X71" s="1">
        <v>207.66319999999999</v>
      </c>
      <c r="Y71" s="1">
        <f>supply_chain_data3[Revenue generated]-(supply_chain_data3[Manufacturing costs]+supply_chain_data3[Shipping costs]+supply_chain_data3[Costs])</f>
        <v>1457.3848006940043</v>
      </c>
      <c r="Z71" s="5">
        <f>supply_chain_data3[Stock levels]+supply_chain_data3[Production volumes]+supply_chain_data3[Order quantities]-supply_chain_data3[Number of products sold]</f>
        <v>473</v>
      </c>
      <c r="AA71">
        <f>supply_chain_data3[Production volumes]*supply_chain_data3[Defect rates]</f>
        <v>1174.3784462155315</v>
      </c>
    </row>
    <row r="72" spans="1:27" x14ac:dyDescent="0.25">
      <c r="A72" t="s">
        <v>24</v>
      </c>
      <c r="B72" t="s">
        <v>124</v>
      </c>
      <c r="C72" s="1">
        <v>47.914499999999997</v>
      </c>
      <c r="D72">
        <v>90</v>
      </c>
      <c r="E72">
        <v>32</v>
      </c>
      <c r="F72" s="1">
        <v>7014.8879872033885</v>
      </c>
      <c r="G72" t="s">
        <v>35</v>
      </c>
      <c r="H72">
        <v>10</v>
      </c>
      <c r="I72">
        <v>12</v>
      </c>
      <c r="J72">
        <v>22</v>
      </c>
      <c r="K72">
        <v>4</v>
      </c>
      <c r="L72" t="s">
        <v>27</v>
      </c>
      <c r="M72" s="1">
        <v>6.3157177546007226</v>
      </c>
      <c r="N72" t="s">
        <v>39</v>
      </c>
      <c r="O72" t="s">
        <v>53</v>
      </c>
      <c r="P72">
        <v>22</v>
      </c>
      <c r="Q72">
        <v>775</v>
      </c>
      <c r="R72">
        <v>16</v>
      </c>
      <c r="S72" s="1">
        <v>11.440799999999999</v>
      </c>
      <c r="T72" t="s">
        <v>64</v>
      </c>
      <c r="U72">
        <v>1.8305755986122314</v>
      </c>
      <c r="V72" t="s">
        <v>31</v>
      </c>
      <c r="W72" t="s">
        <v>41</v>
      </c>
      <c r="X72" s="1">
        <v>183.27289999999999</v>
      </c>
      <c r="Y72" s="1">
        <f>supply_chain_data3[Revenue generated]-(supply_chain_data3[Manufacturing costs]+supply_chain_data3[Shipping costs]+supply_chain_data3[Costs])</f>
        <v>6813.8585694487874</v>
      </c>
      <c r="Z72" s="5">
        <f>supply_chain_data3[Stock levels]+supply_chain_data3[Production volumes]+supply_chain_data3[Order quantities]-supply_chain_data3[Number of products sold]</f>
        <v>775</v>
      </c>
      <c r="AA72">
        <f>supply_chain_data3[Production volumes]*supply_chain_data3[Defect rates]</f>
        <v>1418.6960889244792</v>
      </c>
    </row>
    <row r="73" spans="1:27" x14ac:dyDescent="0.25">
      <c r="A73" t="s">
        <v>57</v>
      </c>
      <c r="B73" t="s">
        <v>125</v>
      </c>
      <c r="C73" s="1">
        <v>6.3815</v>
      </c>
      <c r="D73">
        <v>14</v>
      </c>
      <c r="E73">
        <v>637</v>
      </c>
      <c r="F73" s="1">
        <v>8180.3370854254426</v>
      </c>
      <c r="G73" t="s">
        <v>35</v>
      </c>
      <c r="H73">
        <v>76</v>
      </c>
      <c r="I73">
        <v>2</v>
      </c>
      <c r="J73">
        <v>26</v>
      </c>
      <c r="K73">
        <v>6</v>
      </c>
      <c r="L73" t="s">
        <v>36</v>
      </c>
      <c r="M73" s="1">
        <v>9.2281903170525172</v>
      </c>
      <c r="N73" t="s">
        <v>61</v>
      </c>
      <c r="O73" t="s">
        <v>53</v>
      </c>
      <c r="P73">
        <v>2</v>
      </c>
      <c r="Q73">
        <v>258</v>
      </c>
      <c r="R73">
        <v>10</v>
      </c>
      <c r="S73" s="1">
        <v>30.6617</v>
      </c>
      <c r="T73" t="s">
        <v>30</v>
      </c>
      <c r="U73">
        <v>2.0787506078749689</v>
      </c>
      <c r="V73" t="s">
        <v>31</v>
      </c>
      <c r="W73" t="s">
        <v>48</v>
      </c>
      <c r="X73" s="1">
        <v>405.1671</v>
      </c>
      <c r="Y73" s="1">
        <f>supply_chain_data3[Revenue generated]-(supply_chain_data3[Manufacturing costs]+supply_chain_data3[Shipping costs]+supply_chain_data3[Costs])</f>
        <v>7735.28009510839</v>
      </c>
      <c r="Z73" s="5">
        <f>supply_chain_data3[Stock levels]+supply_chain_data3[Production volumes]+supply_chain_data3[Order quantities]-supply_chain_data3[Number of products sold]</f>
        <v>-277</v>
      </c>
      <c r="AA73">
        <f>supply_chain_data3[Production volumes]*supply_chain_data3[Defect rates]</f>
        <v>536.31765683174194</v>
      </c>
    </row>
    <row r="74" spans="1:27" x14ac:dyDescent="0.25">
      <c r="A74" t="s">
        <v>57</v>
      </c>
      <c r="B74" t="s">
        <v>126</v>
      </c>
      <c r="C74" s="1">
        <v>90.204400000000007</v>
      </c>
      <c r="D74">
        <v>88</v>
      </c>
      <c r="E74">
        <v>478</v>
      </c>
      <c r="F74" s="1">
        <v>2633.1219813122557</v>
      </c>
      <c r="G74" t="s">
        <v>26</v>
      </c>
      <c r="H74">
        <v>57</v>
      </c>
      <c r="I74">
        <v>29</v>
      </c>
      <c r="J74">
        <v>77</v>
      </c>
      <c r="K74">
        <v>9</v>
      </c>
      <c r="L74" t="s">
        <v>36</v>
      </c>
      <c r="M74" s="1">
        <v>6.5996141596895441</v>
      </c>
      <c r="N74" t="s">
        <v>39</v>
      </c>
      <c r="O74" t="s">
        <v>53</v>
      </c>
      <c r="P74">
        <v>21</v>
      </c>
      <c r="Q74">
        <v>152</v>
      </c>
      <c r="R74">
        <v>11</v>
      </c>
      <c r="S74" s="1">
        <v>55.7605</v>
      </c>
      <c r="T74" t="s">
        <v>30</v>
      </c>
      <c r="U74">
        <v>3.2133296074383089</v>
      </c>
      <c r="V74" t="s">
        <v>47</v>
      </c>
      <c r="W74" t="s">
        <v>32</v>
      </c>
      <c r="X74" s="1">
        <v>677.94460000000004</v>
      </c>
      <c r="Y74" s="1">
        <f>supply_chain_data3[Revenue generated]-(supply_chain_data3[Manufacturing costs]+supply_chain_data3[Shipping costs]+supply_chain_data3[Costs])</f>
        <v>1892.817267152566</v>
      </c>
      <c r="Z74" s="5">
        <f>supply_chain_data3[Stock levels]+supply_chain_data3[Production volumes]+supply_chain_data3[Order quantities]-supply_chain_data3[Number of products sold]</f>
        <v>-192</v>
      </c>
      <c r="AA74">
        <f>supply_chain_data3[Production volumes]*supply_chain_data3[Defect rates]</f>
        <v>488.42610033062294</v>
      </c>
    </row>
    <row r="75" spans="1:27" x14ac:dyDescent="0.25">
      <c r="A75" t="s">
        <v>57</v>
      </c>
      <c r="B75" t="s">
        <v>127</v>
      </c>
      <c r="C75" s="1">
        <v>83.850999999999999</v>
      </c>
      <c r="D75">
        <v>41</v>
      </c>
      <c r="E75">
        <v>375</v>
      </c>
      <c r="F75" s="1">
        <v>7910.8869161406856</v>
      </c>
      <c r="G75" t="s">
        <v>55</v>
      </c>
      <c r="H75">
        <v>17</v>
      </c>
      <c r="I75">
        <v>25</v>
      </c>
      <c r="J75">
        <v>66</v>
      </c>
      <c r="K75">
        <v>5</v>
      </c>
      <c r="L75" t="s">
        <v>27</v>
      </c>
      <c r="M75" s="1">
        <v>1.5129368369160772</v>
      </c>
      <c r="N75" t="s">
        <v>52</v>
      </c>
      <c r="O75" t="s">
        <v>62</v>
      </c>
      <c r="P75">
        <v>13</v>
      </c>
      <c r="Q75">
        <v>444</v>
      </c>
      <c r="R75">
        <v>4</v>
      </c>
      <c r="S75" s="1">
        <v>46.870199999999997</v>
      </c>
      <c r="T75" t="s">
        <v>46</v>
      </c>
      <c r="U75">
        <v>4.6205460645137064</v>
      </c>
      <c r="V75" t="s">
        <v>31</v>
      </c>
      <c r="W75" t="s">
        <v>48</v>
      </c>
      <c r="X75" s="1">
        <v>866.47280000000001</v>
      </c>
      <c r="Y75" s="1">
        <f>supply_chain_data3[Revenue generated]-(supply_chain_data3[Manufacturing costs]+supply_chain_data3[Shipping costs]+supply_chain_data3[Costs])</f>
        <v>6996.0309793037695</v>
      </c>
      <c r="Z75" s="5">
        <f>supply_chain_data3[Stock levels]+supply_chain_data3[Production volumes]+supply_chain_data3[Order quantities]-supply_chain_data3[Number of products sold]</f>
        <v>152</v>
      </c>
      <c r="AA75">
        <f>supply_chain_data3[Production volumes]*supply_chain_data3[Defect rates]</f>
        <v>2051.5224526440857</v>
      </c>
    </row>
    <row r="76" spans="1:27" x14ac:dyDescent="0.25">
      <c r="A76" t="s">
        <v>24</v>
      </c>
      <c r="B76" t="s">
        <v>128</v>
      </c>
      <c r="C76" s="1">
        <v>3.17</v>
      </c>
      <c r="D76">
        <v>64</v>
      </c>
      <c r="E76">
        <v>904</v>
      </c>
      <c r="F76" s="1">
        <v>5709.9452959692871</v>
      </c>
      <c r="G76" t="s">
        <v>35</v>
      </c>
      <c r="H76">
        <v>41</v>
      </c>
      <c r="I76">
        <v>6</v>
      </c>
      <c r="J76">
        <v>1</v>
      </c>
      <c r="K76">
        <v>5</v>
      </c>
      <c r="L76" t="s">
        <v>36</v>
      </c>
      <c r="M76" s="1">
        <v>5.2376546500374479</v>
      </c>
      <c r="N76" t="s">
        <v>52</v>
      </c>
      <c r="O76" t="s">
        <v>50</v>
      </c>
      <c r="P76">
        <v>1</v>
      </c>
      <c r="Q76">
        <v>919</v>
      </c>
      <c r="R76">
        <v>9</v>
      </c>
      <c r="S76" s="1">
        <v>80.5809</v>
      </c>
      <c r="T76" t="s">
        <v>46</v>
      </c>
      <c r="U76">
        <v>0.39661272410993542</v>
      </c>
      <c r="V76" t="s">
        <v>47</v>
      </c>
      <c r="W76" t="s">
        <v>48</v>
      </c>
      <c r="X76" s="1">
        <v>341.55270000000002</v>
      </c>
      <c r="Y76" s="1">
        <f>supply_chain_data3[Revenue generated]-(supply_chain_data3[Manufacturing costs]+supply_chain_data3[Shipping costs]+supply_chain_data3[Costs])</f>
        <v>5282.5740413192498</v>
      </c>
      <c r="Z76" s="5">
        <f>supply_chain_data3[Stock levels]+supply_chain_data3[Production volumes]+supply_chain_data3[Order quantities]-supply_chain_data3[Number of products sold]</f>
        <v>57</v>
      </c>
      <c r="AA76">
        <f>supply_chain_data3[Production volumes]*supply_chain_data3[Defect rates]</f>
        <v>364.48709345703065</v>
      </c>
    </row>
    <row r="77" spans="1:27" x14ac:dyDescent="0.25">
      <c r="A77" t="s">
        <v>33</v>
      </c>
      <c r="B77" t="s">
        <v>129</v>
      </c>
      <c r="C77" s="1">
        <v>92.996899999999997</v>
      </c>
      <c r="D77">
        <v>29</v>
      </c>
      <c r="E77">
        <v>106</v>
      </c>
      <c r="F77" s="1">
        <v>1889.073589779335</v>
      </c>
      <c r="G77" t="s">
        <v>26</v>
      </c>
      <c r="H77">
        <v>16</v>
      </c>
      <c r="I77">
        <v>20</v>
      </c>
      <c r="J77">
        <v>56</v>
      </c>
      <c r="K77">
        <v>10</v>
      </c>
      <c r="L77" t="s">
        <v>43</v>
      </c>
      <c r="M77" s="1">
        <v>2.4738977610454609</v>
      </c>
      <c r="N77" t="s">
        <v>39</v>
      </c>
      <c r="O77" t="s">
        <v>62</v>
      </c>
      <c r="P77">
        <v>25</v>
      </c>
      <c r="Q77">
        <v>759</v>
      </c>
      <c r="R77">
        <v>11</v>
      </c>
      <c r="S77" s="1">
        <v>48.064799999999998</v>
      </c>
      <c r="T77" t="s">
        <v>64</v>
      </c>
      <c r="U77">
        <v>2.0300690886687516</v>
      </c>
      <c r="V77" t="s">
        <v>40</v>
      </c>
      <c r="W77" t="s">
        <v>41</v>
      </c>
      <c r="X77" s="1">
        <v>873.12959999999998</v>
      </c>
      <c r="Y77" s="1">
        <f>supply_chain_data3[Revenue generated]-(supply_chain_data3[Manufacturing costs]+supply_chain_data3[Shipping costs]+supply_chain_data3[Costs])</f>
        <v>965.40529201828951</v>
      </c>
      <c r="Z77" s="5">
        <f>supply_chain_data3[Stock levels]+supply_chain_data3[Production volumes]+supply_chain_data3[Order quantities]-supply_chain_data3[Number of products sold]</f>
        <v>725</v>
      </c>
      <c r="AA77">
        <f>supply_chain_data3[Production volumes]*supply_chain_data3[Defect rates]</f>
        <v>1540.8224382995825</v>
      </c>
    </row>
    <row r="78" spans="1:27" x14ac:dyDescent="0.25">
      <c r="A78" t="s">
        <v>24</v>
      </c>
      <c r="B78" t="s">
        <v>130</v>
      </c>
      <c r="C78" s="1">
        <v>69.108800000000002</v>
      </c>
      <c r="D78">
        <v>23</v>
      </c>
      <c r="E78">
        <v>241</v>
      </c>
      <c r="F78" s="1">
        <v>5328.3759842977579</v>
      </c>
      <c r="G78" t="s">
        <v>55</v>
      </c>
      <c r="H78">
        <v>38</v>
      </c>
      <c r="I78">
        <v>1</v>
      </c>
      <c r="J78">
        <v>22</v>
      </c>
      <c r="K78">
        <v>10</v>
      </c>
      <c r="L78" t="s">
        <v>36</v>
      </c>
      <c r="M78" s="1">
        <v>7.0545383368369263</v>
      </c>
      <c r="N78" t="s">
        <v>61</v>
      </c>
      <c r="O78" t="s">
        <v>53</v>
      </c>
      <c r="P78">
        <v>25</v>
      </c>
      <c r="Q78">
        <v>985</v>
      </c>
      <c r="R78">
        <v>24</v>
      </c>
      <c r="S78" s="1">
        <v>64.323599999999999</v>
      </c>
      <c r="T78" t="s">
        <v>30</v>
      </c>
      <c r="U78">
        <v>2.1800374515822165</v>
      </c>
      <c r="V78" t="s">
        <v>47</v>
      </c>
      <c r="W78" t="s">
        <v>48</v>
      </c>
      <c r="X78" s="1">
        <v>997.4135</v>
      </c>
      <c r="Y78" s="1">
        <f>supply_chain_data3[Revenue generated]-(supply_chain_data3[Manufacturing costs]+supply_chain_data3[Shipping costs]+supply_chain_data3[Costs])</f>
        <v>4259.5843459609205</v>
      </c>
      <c r="Z78" s="5">
        <f>supply_chain_data3[Stock levels]+supply_chain_data3[Production volumes]+supply_chain_data3[Order quantities]-supply_chain_data3[Number of products sold]</f>
        <v>804</v>
      </c>
      <c r="AA78">
        <f>supply_chain_data3[Production volumes]*supply_chain_data3[Defect rates]</f>
        <v>2147.3368898084832</v>
      </c>
    </row>
    <row r="79" spans="1:27" x14ac:dyDescent="0.25">
      <c r="A79" t="s">
        <v>24</v>
      </c>
      <c r="B79" t="s">
        <v>131</v>
      </c>
      <c r="C79" s="1">
        <v>57.4497</v>
      </c>
      <c r="D79">
        <v>14</v>
      </c>
      <c r="E79">
        <v>359</v>
      </c>
      <c r="F79" s="1">
        <v>2483.7601775427947</v>
      </c>
      <c r="G79" t="s">
        <v>38</v>
      </c>
      <c r="H79">
        <v>96</v>
      </c>
      <c r="I79">
        <v>28</v>
      </c>
      <c r="J79">
        <v>57</v>
      </c>
      <c r="K79">
        <v>4</v>
      </c>
      <c r="L79" t="s">
        <v>27</v>
      </c>
      <c r="M79" s="1">
        <v>6.7809466256178954</v>
      </c>
      <c r="N79" t="s">
        <v>39</v>
      </c>
      <c r="O79" t="s">
        <v>45</v>
      </c>
      <c r="P79">
        <v>26</v>
      </c>
      <c r="Q79">
        <v>334</v>
      </c>
      <c r="R79">
        <v>5</v>
      </c>
      <c r="S79" s="1">
        <v>42.952399999999997</v>
      </c>
      <c r="T79" t="s">
        <v>64</v>
      </c>
      <c r="U79">
        <v>3.0551418183075478</v>
      </c>
      <c r="V79" t="s">
        <v>31</v>
      </c>
      <c r="W79" t="s">
        <v>32</v>
      </c>
      <c r="X79" s="1">
        <v>852.56809999999996</v>
      </c>
      <c r="Y79" s="1">
        <f>supply_chain_data3[Revenue generated]-(supply_chain_data3[Manufacturing costs]+supply_chain_data3[Shipping costs]+supply_chain_data3[Costs])</f>
        <v>1581.458730917177</v>
      </c>
      <c r="Z79" s="5">
        <f>supply_chain_data3[Stock levels]+supply_chain_data3[Production volumes]+supply_chain_data3[Order quantities]-supply_chain_data3[Number of products sold]</f>
        <v>128</v>
      </c>
      <c r="AA79">
        <f>supply_chain_data3[Production volumes]*supply_chain_data3[Defect rates]</f>
        <v>1020.417367314721</v>
      </c>
    </row>
    <row r="80" spans="1:27" x14ac:dyDescent="0.25">
      <c r="A80" t="s">
        <v>24</v>
      </c>
      <c r="B80" t="s">
        <v>132</v>
      </c>
      <c r="C80" s="1">
        <v>6.3068999999999997</v>
      </c>
      <c r="D80">
        <v>50</v>
      </c>
      <c r="E80">
        <v>946</v>
      </c>
      <c r="F80" s="1">
        <v>1292.4584179377562</v>
      </c>
      <c r="G80" t="s">
        <v>38</v>
      </c>
      <c r="H80">
        <v>5</v>
      </c>
      <c r="I80">
        <v>4</v>
      </c>
      <c r="J80">
        <v>51</v>
      </c>
      <c r="K80">
        <v>5</v>
      </c>
      <c r="L80" t="s">
        <v>27</v>
      </c>
      <c r="M80" s="1">
        <v>8.4670497708619905</v>
      </c>
      <c r="N80" t="s">
        <v>44</v>
      </c>
      <c r="O80" t="s">
        <v>29</v>
      </c>
      <c r="P80">
        <v>25</v>
      </c>
      <c r="Q80">
        <v>858</v>
      </c>
      <c r="R80">
        <v>21</v>
      </c>
      <c r="S80" s="1">
        <v>71.126499999999993</v>
      </c>
      <c r="T80" t="s">
        <v>30</v>
      </c>
      <c r="U80">
        <v>4.0968813324704518</v>
      </c>
      <c r="V80" t="s">
        <v>56</v>
      </c>
      <c r="W80" t="s">
        <v>41</v>
      </c>
      <c r="X80" s="1">
        <v>323.59219999999999</v>
      </c>
      <c r="Y80" s="1">
        <f>supply_chain_data3[Revenue generated]-(supply_chain_data3[Manufacturing costs]+supply_chain_data3[Shipping costs]+supply_chain_data3[Costs])</f>
        <v>889.27266816689416</v>
      </c>
      <c r="Z80" s="5">
        <f>supply_chain_data3[Stock levels]+supply_chain_data3[Production volumes]+supply_chain_data3[Order quantities]-supply_chain_data3[Number of products sold]</f>
        <v>-32</v>
      </c>
      <c r="AA80">
        <f>supply_chain_data3[Production volumes]*supply_chain_data3[Defect rates]</f>
        <v>3515.1241832596475</v>
      </c>
    </row>
    <row r="81" spans="1:27" x14ac:dyDescent="0.25">
      <c r="A81" t="s">
        <v>24</v>
      </c>
      <c r="B81" t="s">
        <v>133</v>
      </c>
      <c r="C81" s="1">
        <v>57.057000000000002</v>
      </c>
      <c r="D81">
        <v>56</v>
      </c>
      <c r="E81">
        <v>198</v>
      </c>
      <c r="F81" s="1">
        <v>7888.7232684270812</v>
      </c>
      <c r="G81" t="s">
        <v>26</v>
      </c>
      <c r="H81">
        <v>31</v>
      </c>
      <c r="I81">
        <v>25</v>
      </c>
      <c r="J81">
        <v>20</v>
      </c>
      <c r="K81">
        <v>1</v>
      </c>
      <c r="L81" t="s">
        <v>27</v>
      </c>
      <c r="M81" s="1">
        <v>6.4963253642950445</v>
      </c>
      <c r="N81" t="s">
        <v>28</v>
      </c>
      <c r="O81" t="s">
        <v>53</v>
      </c>
      <c r="P81">
        <v>5</v>
      </c>
      <c r="Q81">
        <v>228</v>
      </c>
      <c r="R81">
        <v>12</v>
      </c>
      <c r="S81" s="1">
        <v>57.870899999999999</v>
      </c>
      <c r="T81" t="s">
        <v>30</v>
      </c>
      <c r="U81">
        <v>0.16587162748060824</v>
      </c>
      <c r="V81" t="s">
        <v>40</v>
      </c>
      <c r="W81" t="s">
        <v>41</v>
      </c>
      <c r="X81" s="1">
        <v>351.50420000000003</v>
      </c>
      <c r="Y81" s="1">
        <f>supply_chain_data3[Revenue generated]-(supply_chain_data3[Manufacturing costs]+supply_chain_data3[Shipping costs]+supply_chain_data3[Costs])</f>
        <v>7472.8518430627864</v>
      </c>
      <c r="Z81" s="5">
        <f>supply_chain_data3[Stock levels]+supply_chain_data3[Production volumes]+supply_chain_data3[Order quantities]-supply_chain_data3[Number of products sold]</f>
        <v>81</v>
      </c>
      <c r="AA81">
        <f>supply_chain_data3[Production volumes]*supply_chain_data3[Defect rates]</f>
        <v>37.818731065578682</v>
      </c>
    </row>
    <row r="82" spans="1:27" x14ac:dyDescent="0.25">
      <c r="A82" t="s">
        <v>33</v>
      </c>
      <c r="B82" t="s">
        <v>134</v>
      </c>
      <c r="C82" s="1">
        <v>91.128299999999996</v>
      </c>
      <c r="D82">
        <v>75</v>
      </c>
      <c r="E82">
        <v>872</v>
      </c>
      <c r="F82" s="1">
        <v>8651.6726829820655</v>
      </c>
      <c r="G82" t="s">
        <v>38</v>
      </c>
      <c r="H82">
        <v>39</v>
      </c>
      <c r="I82">
        <v>14</v>
      </c>
      <c r="J82">
        <v>41</v>
      </c>
      <c r="K82">
        <v>2</v>
      </c>
      <c r="L82" t="s">
        <v>43</v>
      </c>
      <c r="M82" s="1">
        <v>2.8331846794189746</v>
      </c>
      <c r="N82" t="s">
        <v>28</v>
      </c>
      <c r="O82" t="s">
        <v>62</v>
      </c>
      <c r="P82">
        <v>8</v>
      </c>
      <c r="Q82">
        <v>202</v>
      </c>
      <c r="R82">
        <v>5</v>
      </c>
      <c r="S82" s="1">
        <v>76.961200000000005</v>
      </c>
      <c r="T82" t="s">
        <v>46</v>
      </c>
      <c r="U82">
        <v>2.8496621985053308</v>
      </c>
      <c r="V82" t="s">
        <v>56</v>
      </c>
      <c r="W82" t="s">
        <v>32</v>
      </c>
      <c r="X82" s="1">
        <v>787.7799</v>
      </c>
      <c r="Y82" s="1">
        <f>supply_chain_data3[Revenue generated]-(supply_chain_data3[Manufacturing costs]+supply_chain_data3[Shipping costs]+supply_chain_data3[Costs])</f>
        <v>7784.0983983026463</v>
      </c>
      <c r="Z82" s="5">
        <f>supply_chain_data3[Stock levels]+supply_chain_data3[Production volumes]+supply_chain_data3[Order quantities]-supply_chain_data3[Number of products sold]</f>
        <v>-590</v>
      </c>
      <c r="AA82">
        <f>supply_chain_data3[Production volumes]*supply_chain_data3[Defect rates]</f>
        <v>575.63176409807681</v>
      </c>
    </row>
    <row r="83" spans="1:27" x14ac:dyDescent="0.25">
      <c r="A83" t="s">
        <v>24</v>
      </c>
      <c r="B83" t="s">
        <v>135</v>
      </c>
      <c r="C83" s="1">
        <v>72.819199999999995</v>
      </c>
      <c r="D83">
        <v>9</v>
      </c>
      <c r="E83">
        <v>774</v>
      </c>
      <c r="F83" s="1">
        <v>4384.4134000458625</v>
      </c>
      <c r="G83" t="s">
        <v>38</v>
      </c>
      <c r="H83">
        <v>48</v>
      </c>
      <c r="I83">
        <v>6</v>
      </c>
      <c r="J83">
        <v>8</v>
      </c>
      <c r="K83">
        <v>5</v>
      </c>
      <c r="L83" t="s">
        <v>27</v>
      </c>
      <c r="M83" s="1">
        <v>4.0662775015120438</v>
      </c>
      <c r="N83" t="s">
        <v>28</v>
      </c>
      <c r="O83" t="s">
        <v>50</v>
      </c>
      <c r="P83">
        <v>28</v>
      </c>
      <c r="Q83">
        <v>698</v>
      </c>
      <c r="R83">
        <v>1</v>
      </c>
      <c r="S83" s="1">
        <v>19.7896</v>
      </c>
      <c r="T83" t="s">
        <v>30</v>
      </c>
      <c r="U83">
        <v>2.5475471215487118</v>
      </c>
      <c r="V83" t="s">
        <v>47</v>
      </c>
      <c r="W83" t="s">
        <v>32</v>
      </c>
      <c r="X83" s="1">
        <v>276.7783</v>
      </c>
      <c r="Y83" s="1">
        <f>supply_chain_data3[Revenue generated]-(supply_chain_data3[Manufacturing costs]+supply_chain_data3[Shipping costs]+supply_chain_data3[Costs])</f>
        <v>4083.7792225443504</v>
      </c>
      <c r="Z83" s="5">
        <f>supply_chain_data3[Stock levels]+supply_chain_data3[Production volumes]+supply_chain_data3[Order quantities]-supply_chain_data3[Number of products sold]</f>
        <v>-20</v>
      </c>
      <c r="AA83">
        <f>supply_chain_data3[Production volumes]*supply_chain_data3[Defect rates]</f>
        <v>1778.1878908410008</v>
      </c>
    </row>
    <row r="84" spans="1:27" x14ac:dyDescent="0.25">
      <c r="A84" t="s">
        <v>33</v>
      </c>
      <c r="B84" t="s">
        <v>136</v>
      </c>
      <c r="C84" s="1">
        <v>17.0349</v>
      </c>
      <c r="D84">
        <v>13</v>
      </c>
      <c r="E84">
        <v>336</v>
      </c>
      <c r="F84" s="1">
        <v>2943.3818676094515</v>
      </c>
      <c r="G84" t="s">
        <v>38</v>
      </c>
      <c r="H84">
        <v>42</v>
      </c>
      <c r="I84">
        <v>19</v>
      </c>
      <c r="J84">
        <v>72</v>
      </c>
      <c r="K84">
        <v>1</v>
      </c>
      <c r="L84" t="s">
        <v>36</v>
      </c>
      <c r="M84" s="1">
        <v>4.7081818735419301</v>
      </c>
      <c r="N84" t="s">
        <v>61</v>
      </c>
      <c r="O84" t="s">
        <v>29</v>
      </c>
      <c r="P84">
        <v>6</v>
      </c>
      <c r="Q84">
        <v>955</v>
      </c>
      <c r="R84">
        <v>26</v>
      </c>
      <c r="S84" s="1">
        <v>4.4653</v>
      </c>
      <c r="T84" t="s">
        <v>30</v>
      </c>
      <c r="U84">
        <v>4.1378770486223573</v>
      </c>
      <c r="V84" t="s">
        <v>31</v>
      </c>
      <c r="W84" t="s">
        <v>41</v>
      </c>
      <c r="X84" s="1">
        <v>589.97860000000003</v>
      </c>
      <c r="Y84" s="1">
        <f>supply_chain_data3[Revenue generated]-(supply_chain_data3[Manufacturing costs]+supply_chain_data3[Shipping costs]+supply_chain_data3[Costs])</f>
        <v>2344.2297857359094</v>
      </c>
      <c r="Z84" s="5">
        <f>supply_chain_data3[Stock levels]+supply_chain_data3[Production volumes]+supply_chain_data3[Order quantities]-supply_chain_data3[Number of products sold]</f>
        <v>733</v>
      </c>
      <c r="AA84">
        <f>supply_chain_data3[Production volumes]*supply_chain_data3[Defect rates]</f>
        <v>3951.6725814343513</v>
      </c>
    </row>
    <row r="85" spans="1:27" x14ac:dyDescent="0.25">
      <c r="A85" t="s">
        <v>24</v>
      </c>
      <c r="B85" t="s">
        <v>137</v>
      </c>
      <c r="C85" s="1">
        <v>68.911199999999994</v>
      </c>
      <c r="D85">
        <v>82</v>
      </c>
      <c r="E85">
        <v>663</v>
      </c>
      <c r="F85" s="1">
        <v>2411.754632110491</v>
      </c>
      <c r="G85" t="s">
        <v>38</v>
      </c>
      <c r="H85">
        <v>65</v>
      </c>
      <c r="I85">
        <v>24</v>
      </c>
      <c r="J85">
        <v>7</v>
      </c>
      <c r="K85">
        <v>8</v>
      </c>
      <c r="L85" t="s">
        <v>27</v>
      </c>
      <c r="M85" s="1">
        <v>4.9498395779969488</v>
      </c>
      <c r="N85" t="s">
        <v>39</v>
      </c>
      <c r="O85" t="s">
        <v>53</v>
      </c>
      <c r="P85">
        <v>20</v>
      </c>
      <c r="Q85">
        <v>443</v>
      </c>
      <c r="R85">
        <v>5</v>
      </c>
      <c r="S85" s="1">
        <v>97.730599999999995</v>
      </c>
      <c r="T85" t="s">
        <v>46</v>
      </c>
      <c r="U85">
        <v>0.77300613406724783</v>
      </c>
      <c r="V85" t="s">
        <v>31</v>
      </c>
      <c r="W85" t="s">
        <v>48</v>
      </c>
      <c r="X85" s="1">
        <v>682.971</v>
      </c>
      <c r="Y85" s="1">
        <f>supply_chain_data3[Revenue generated]-(supply_chain_data3[Manufacturing costs]+supply_chain_data3[Shipping costs]+supply_chain_data3[Costs])</f>
        <v>1626.1031925324942</v>
      </c>
      <c r="Z85" s="5">
        <f>supply_chain_data3[Stock levels]+supply_chain_data3[Production volumes]+supply_chain_data3[Order quantities]-supply_chain_data3[Number of products sold]</f>
        <v>-148</v>
      </c>
      <c r="AA85">
        <f>supply_chain_data3[Production volumes]*supply_chain_data3[Defect rates]</f>
        <v>342.4417173917908</v>
      </c>
    </row>
    <row r="86" spans="1:27" x14ac:dyDescent="0.25">
      <c r="A86" t="s">
        <v>24</v>
      </c>
      <c r="B86" t="s">
        <v>138</v>
      </c>
      <c r="C86" s="1">
        <v>89.104399999999998</v>
      </c>
      <c r="D86">
        <v>99</v>
      </c>
      <c r="E86">
        <v>618</v>
      </c>
      <c r="F86" s="1">
        <v>2048.2900998487103</v>
      </c>
      <c r="G86" t="s">
        <v>38</v>
      </c>
      <c r="H86">
        <v>73</v>
      </c>
      <c r="I86">
        <v>26</v>
      </c>
      <c r="J86">
        <v>80</v>
      </c>
      <c r="K86">
        <v>10</v>
      </c>
      <c r="L86" t="s">
        <v>36</v>
      </c>
      <c r="M86" s="1">
        <v>8.381615624922631</v>
      </c>
      <c r="N86" t="s">
        <v>44</v>
      </c>
      <c r="O86" t="s">
        <v>62</v>
      </c>
      <c r="P86">
        <v>24</v>
      </c>
      <c r="Q86">
        <v>589</v>
      </c>
      <c r="R86">
        <v>22</v>
      </c>
      <c r="S86" s="1">
        <v>33.808599999999998</v>
      </c>
      <c r="T86" t="s">
        <v>64</v>
      </c>
      <c r="U86">
        <v>4.8434565771180411</v>
      </c>
      <c r="V86" t="s">
        <v>40</v>
      </c>
      <c r="W86" t="s">
        <v>32</v>
      </c>
      <c r="X86" s="1">
        <v>465.45699999999999</v>
      </c>
      <c r="Y86" s="1">
        <f>supply_chain_data3[Revenue generated]-(supply_chain_data3[Manufacturing costs]+supply_chain_data3[Shipping costs]+supply_chain_data3[Costs])</f>
        <v>1540.6428842237876</v>
      </c>
      <c r="Z86" s="5">
        <f>supply_chain_data3[Stock levels]+supply_chain_data3[Production volumes]+supply_chain_data3[Order quantities]-supply_chain_data3[Number of products sold]</f>
        <v>124</v>
      </c>
      <c r="AA86">
        <f>supply_chain_data3[Production volumes]*supply_chain_data3[Defect rates]</f>
        <v>2852.7959239225261</v>
      </c>
    </row>
    <row r="87" spans="1:27" x14ac:dyDescent="0.25">
      <c r="A87" t="s">
        <v>57</v>
      </c>
      <c r="B87" t="s">
        <v>139</v>
      </c>
      <c r="C87" s="1">
        <v>76.962999999999994</v>
      </c>
      <c r="D87">
        <v>83</v>
      </c>
      <c r="E87">
        <v>25</v>
      </c>
      <c r="F87" s="1">
        <v>8684.6130592538575</v>
      </c>
      <c r="G87" t="s">
        <v>35</v>
      </c>
      <c r="H87">
        <v>15</v>
      </c>
      <c r="I87">
        <v>18</v>
      </c>
      <c r="J87">
        <v>66</v>
      </c>
      <c r="K87">
        <v>2</v>
      </c>
      <c r="L87" t="s">
        <v>43</v>
      </c>
      <c r="M87" s="1">
        <v>8.2491687048717282</v>
      </c>
      <c r="N87" t="s">
        <v>44</v>
      </c>
      <c r="O87" t="s">
        <v>62</v>
      </c>
      <c r="P87">
        <v>4</v>
      </c>
      <c r="Q87">
        <v>211</v>
      </c>
      <c r="R87">
        <v>2</v>
      </c>
      <c r="S87" s="1">
        <v>69.929299999999998</v>
      </c>
      <c r="T87" t="s">
        <v>46</v>
      </c>
      <c r="U87">
        <v>1.3744289997457582</v>
      </c>
      <c r="V87" t="s">
        <v>31</v>
      </c>
      <c r="W87" t="s">
        <v>32</v>
      </c>
      <c r="X87" s="1">
        <v>842.68679999999995</v>
      </c>
      <c r="Y87" s="1">
        <f>supply_chain_data3[Revenue generated]-(supply_chain_data3[Manufacturing costs]+supply_chain_data3[Shipping costs]+supply_chain_data3[Costs])</f>
        <v>7763.7477905489859</v>
      </c>
      <c r="Z87" s="5">
        <f>supply_chain_data3[Stock levels]+supply_chain_data3[Production volumes]+supply_chain_data3[Order quantities]-supply_chain_data3[Number of products sold]</f>
        <v>267</v>
      </c>
      <c r="AA87">
        <f>supply_chain_data3[Production volumes]*supply_chain_data3[Defect rates]</f>
        <v>290.00451894635495</v>
      </c>
    </row>
    <row r="88" spans="1:27" x14ac:dyDescent="0.25">
      <c r="A88" t="s">
        <v>33</v>
      </c>
      <c r="B88" t="s">
        <v>140</v>
      </c>
      <c r="C88" s="1">
        <v>19.998200000000001</v>
      </c>
      <c r="D88">
        <v>18</v>
      </c>
      <c r="E88">
        <v>223</v>
      </c>
      <c r="F88" s="1">
        <v>1229.5910285649834</v>
      </c>
      <c r="G88" t="s">
        <v>38</v>
      </c>
      <c r="H88">
        <v>32</v>
      </c>
      <c r="I88">
        <v>14</v>
      </c>
      <c r="J88">
        <v>22</v>
      </c>
      <c r="K88">
        <v>6</v>
      </c>
      <c r="L88" t="s">
        <v>27</v>
      </c>
      <c r="M88" s="1">
        <v>1.4543053101535515</v>
      </c>
      <c r="N88" t="s">
        <v>39</v>
      </c>
      <c r="O88" t="s">
        <v>29</v>
      </c>
      <c r="P88">
        <v>4</v>
      </c>
      <c r="Q88">
        <v>569</v>
      </c>
      <c r="R88">
        <v>18</v>
      </c>
      <c r="S88" s="1">
        <v>74.608999999999995</v>
      </c>
      <c r="T88" t="s">
        <v>64</v>
      </c>
      <c r="U88">
        <v>2.0515129307662465</v>
      </c>
      <c r="V88" t="s">
        <v>47</v>
      </c>
      <c r="W88" t="s">
        <v>48</v>
      </c>
      <c r="X88" s="1">
        <v>264.25490000000002</v>
      </c>
      <c r="Y88" s="1">
        <f>supply_chain_data3[Revenue generated]-(supply_chain_data3[Manufacturing costs]+supply_chain_data3[Shipping costs]+supply_chain_data3[Costs])</f>
        <v>889.27282325482975</v>
      </c>
      <c r="Z88" s="5">
        <f>supply_chain_data3[Stock levels]+supply_chain_data3[Production volumes]+supply_chain_data3[Order quantities]-supply_chain_data3[Number of products sold]</f>
        <v>400</v>
      </c>
      <c r="AA88">
        <f>supply_chain_data3[Production volumes]*supply_chain_data3[Defect rates]</f>
        <v>1167.3108576059942</v>
      </c>
    </row>
    <row r="89" spans="1:27" x14ac:dyDescent="0.25">
      <c r="A89" t="s">
        <v>24</v>
      </c>
      <c r="B89" t="s">
        <v>141</v>
      </c>
      <c r="C89" s="1">
        <v>80.414000000000001</v>
      </c>
      <c r="D89">
        <v>24</v>
      </c>
      <c r="E89">
        <v>79</v>
      </c>
      <c r="F89" s="1">
        <v>5133.8467010866916</v>
      </c>
      <c r="G89" t="s">
        <v>55</v>
      </c>
      <c r="H89">
        <v>5</v>
      </c>
      <c r="I89">
        <v>7</v>
      </c>
      <c r="J89">
        <v>55</v>
      </c>
      <c r="K89">
        <v>10</v>
      </c>
      <c r="L89" t="s">
        <v>36</v>
      </c>
      <c r="M89" s="1">
        <v>6.5758037975485353</v>
      </c>
      <c r="N89" t="s">
        <v>28</v>
      </c>
      <c r="O89" t="s">
        <v>62</v>
      </c>
      <c r="P89">
        <v>27</v>
      </c>
      <c r="Q89">
        <v>523</v>
      </c>
      <c r="R89">
        <v>17</v>
      </c>
      <c r="S89" s="1">
        <v>28.696999999999999</v>
      </c>
      <c r="T89" t="s">
        <v>46</v>
      </c>
      <c r="U89">
        <v>3.6937377878392756</v>
      </c>
      <c r="V89" t="s">
        <v>56</v>
      </c>
      <c r="W89" t="s">
        <v>32</v>
      </c>
      <c r="X89" s="1">
        <v>879.35919999999999</v>
      </c>
      <c r="Y89" s="1">
        <f>supply_chain_data3[Revenue generated]-(supply_chain_data3[Manufacturing costs]+supply_chain_data3[Shipping costs]+supply_chain_data3[Costs])</f>
        <v>4219.2146972891433</v>
      </c>
      <c r="Z89" s="5">
        <f>supply_chain_data3[Stock levels]+supply_chain_data3[Production volumes]+supply_chain_data3[Order quantities]-supply_chain_data3[Number of products sold]</f>
        <v>504</v>
      </c>
      <c r="AA89">
        <f>supply_chain_data3[Production volumes]*supply_chain_data3[Defect rates]</f>
        <v>1931.8248630399412</v>
      </c>
    </row>
    <row r="90" spans="1:27" x14ac:dyDescent="0.25">
      <c r="A90" t="s">
        <v>57</v>
      </c>
      <c r="B90" t="s">
        <v>142</v>
      </c>
      <c r="C90" s="1">
        <v>75.270399999999995</v>
      </c>
      <c r="D90">
        <v>58</v>
      </c>
      <c r="E90">
        <v>737</v>
      </c>
      <c r="F90" s="1">
        <v>9444.7420330629793</v>
      </c>
      <c r="G90" t="s">
        <v>55</v>
      </c>
      <c r="H90">
        <v>60</v>
      </c>
      <c r="I90">
        <v>18</v>
      </c>
      <c r="J90">
        <v>85</v>
      </c>
      <c r="K90">
        <v>7</v>
      </c>
      <c r="L90" t="s">
        <v>36</v>
      </c>
      <c r="M90" s="1">
        <v>3.8012531329310777</v>
      </c>
      <c r="N90" t="s">
        <v>61</v>
      </c>
      <c r="O90" t="s">
        <v>29</v>
      </c>
      <c r="P90">
        <v>21</v>
      </c>
      <c r="Q90">
        <v>953</v>
      </c>
      <c r="R90">
        <v>11</v>
      </c>
      <c r="S90" s="1">
        <v>68.184899999999999</v>
      </c>
      <c r="T90" t="s">
        <v>30</v>
      </c>
      <c r="U90">
        <v>0.722204401882931</v>
      </c>
      <c r="V90" t="s">
        <v>56</v>
      </c>
      <c r="W90" t="s">
        <v>48</v>
      </c>
      <c r="X90" s="1">
        <v>103.9162</v>
      </c>
      <c r="Y90" s="1">
        <f>supply_chain_data3[Revenue generated]-(supply_chain_data3[Manufacturing costs]+supply_chain_data3[Shipping costs]+supply_chain_data3[Costs])</f>
        <v>9268.8396799300481</v>
      </c>
      <c r="Z90" s="5">
        <f>supply_chain_data3[Stock levels]+supply_chain_data3[Production volumes]+supply_chain_data3[Order quantities]-supply_chain_data3[Number of products sold]</f>
        <v>361</v>
      </c>
      <c r="AA90">
        <f>supply_chain_data3[Production volumes]*supply_chain_data3[Defect rates]</f>
        <v>688.26079499443324</v>
      </c>
    </row>
    <row r="91" spans="1:27" x14ac:dyDescent="0.25">
      <c r="A91" t="s">
        <v>57</v>
      </c>
      <c r="B91" t="s">
        <v>143</v>
      </c>
      <c r="C91" s="1">
        <v>97.760099999999994</v>
      </c>
      <c r="D91">
        <v>10</v>
      </c>
      <c r="E91">
        <v>134</v>
      </c>
      <c r="F91" s="1">
        <v>5924.682566853231</v>
      </c>
      <c r="G91" t="s">
        <v>38</v>
      </c>
      <c r="H91">
        <v>90</v>
      </c>
      <c r="I91">
        <v>1</v>
      </c>
      <c r="J91">
        <v>27</v>
      </c>
      <c r="K91">
        <v>8</v>
      </c>
      <c r="L91" t="s">
        <v>27</v>
      </c>
      <c r="M91" s="1">
        <v>9.9298162452772587</v>
      </c>
      <c r="N91" t="s">
        <v>39</v>
      </c>
      <c r="O91" t="s">
        <v>45</v>
      </c>
      <c r="P91">
        <v>23</v>
      </c>
      <c r="Q91">
        <v>370</v>
      </c>
      <c r="R91">
        <v>11</v>
      </c>
      <c r="S91" s="1">
        <v>46.603900000000003</v>
      </c>
      <c r="T91" t="s">
        <v>30</v>
      </c>
      <c r="U91">
        <v>1.9076657339590746</v>
      </c>
      <c r="V91" t="s">
        <v>47</v>
      </c>
      <c r="W91" t="s">
        <v>32</v>
      </c>
      <c r="X91" s="1">
        <v>517.5</v>
      </c>
      <c r="Y91" s="1">
        <f>supply_chain_data3[Revenue generated]-(supply_chain_data3[Manufacturing costs]+supply_chain_data3[Shipping costs]+supply_chain_data3[Costs])</f>
        <v>5350.648850607954</v>
      </c>
      <c r="Z91" s="5">
        <f>supply_chain_data3[Stock levels]+supply_chain_data3[Production volumes]+supply_chain_data3[Order quantities]-supply_chain_data3[Number of products sold]</f>
        <v>353</v>
      </c>
      <c r="AA91">
        <f>supply_chain_data3[Production volumes]*supply_chain_data3[Defect rates]</f>
        <v>705.8363215648576</v>
      </c>
    </row>
    <row r="92" spans="1:27" x14ac:dyDescent="0.25">
      <c r="A92" t="s">
        <v>33</v>
      </c>
      <c r="B92" t="s">
        <v>144</v>
      </c>
      <c r="C92" s="1">
        <v>13.8819</v>
      </c>
      <c r="D92">
        <v>56</v>
      </c>
      <c r="E92">
        <v>320</v>
      </c>
      <c r="F92" s="1">
        <v>9592.6335702803117</v>
      </c>
      <c r="G92" t="s">
        <v>26</v>
      </c>
      <c r="H92">
        <v>66</v>
      </c>
      <c r="I92">
        <v>18</v>
      </c>
      <c r="J92">
        <v>96</v>
      </c>
      <c r="K92">
        <v>7</v>
      </c>
      <c r="L92" t="s">
        <v>27</v>
      </c>
      <c r="M92" s="1">
        <v>7.6744307081126939</v>
      </c>
      <c r="N92" t="s">
        <v>28</v>
      </c>
      <c r="O92" t="s">
        <v>53</v>
      </c>
      <c r="P92">
        <v>8</v>
      </c>
      <c r="Q92">
        <v>585</v>
      </c>
      <c r="R92">
        <v>8</v>
      </c>
      <c r="S92" s="1">
        <v>85.676000000000002</v>
      </c>
      <c r="T92" t="s">
        <v>64</v>
      </c>
      <c r="U92">
        <v>1.2193822244013885</v>
      </c>
      <c r="V92" t="s">
        <v>47</v>
      </c>
      <c r="W92" t="s">
        <v>32</v>
      </c>
      <c r="X92" s="1">
        <v>990.07849999999996</v>
      </c>
      <c r="Y92" s="1">
        <f>supply_chain_data3[Revenue generated]-(supply_chain_data3[Manufacturing costs]+supply_chain_data3[Shipping costs]+supply_chain_data3[Costs])</f>
        <v>8509.2046395721991</v>
      </c>
      <c r="Z92" s="5">
        <f>supply_chain_data3[Stock levels]+supply_chain_data3[Production volumes]+supply_chain_data3[Order quantities]-supply_chain_data3[Number of products sold]</f>
        <v>427</v>
      </c>
      <c r="AA92">
        <f>supply_chain_data3[Production volumes]*supply_chain_data3[Defect rates]</f>
        <v>713.33860127481228</v>
      </c>
    </row>
    <row r="93" spans="1:27" x14ac:dyDescent="0.25">
      <c r="A93" t="s">
        <v>57</v>
      </c>
      <c r="B93" t="s">
        <v>145</v>
      </c>
      <c r="C93" s="1">
        <v>62.112000000000002</v>
      </c>
      <c r="D93">
        <v>90</v>
      </c>
      <c r="E93">
        <v>916</v>
      </c>
      <c r="F93" s="1">
        <v>1935.2067935075991</v>
      </c>
      <c r="G93" t="s">
        <v>55</v>
      </c>
      <c r="H93">
        <v>98</v>
      </c>
      <c r="I93">
        <v>22</v>
      </c>
      <c r="J93">
        <v>85</v>
      </c>
      <c r="K93">
        <v>7</v>
      </c>
      <c r="L93" t="s">
        <v>27</v>
      </c>
      <c r="M93" s="1">
        <v>7.4715140844011456</v>
      </c>
      <c r="N93" t="s">
        <v>52</v>
      </c>
      <c r="O93" t="s">
        <v>50</v>
      </c>
      <c r="P93">
        <v>5</v>
      </c>
      <c r="Q93">
        <v>207</v>
      </c>
      <c r="R93">
        <v>28</v>
      </c>
      <c r="S93" s="1">
        <v>39.7729</v>
      </c>
      <c r="T93" t="s">
        <v>30</v>
      </c>
      <c r="U93">
        <v>0.62600185820939458</v>
      </c>
      <c r="V93" t="s">
        <v>47</v>
      </c>
      <c r="W93" t="s">
        <v>32</v>
      </c>
      <c r="X93" s="1">
        <v>996.77829999999994</v>
      </c>
      <c r="Y93" s="1">
        <f>supply_chain_data3[Revenue generated]-(supply_chain_data3[Manufacturing costs]+supply_chain_data3[Shipping costs]+supply_chain_data3[Costs])</f>
        <v>891.184079423198</v>
      </c>
      <c r="Z93" s="5">
        <f>supply_chain_data3[Stock levels]+supply_chain_data3[Production volumes]+supply_chain_data3[Order quantities]-supply_chain_data3[Number of products sold]</f>
        <v>-526</v>
      </c>
      <c r="AA93">
        <f>supply_chain_data3[Production volumes]*supply_chain_data3[Defect rates]</f>
        <v>129.58238464934468</v>
      </c>
    </row>
    <row r="94" spans="1:27" x14ac:dyDescent="0.25">
      <c r="A94" t="s">
        <v>57</v>
      </c>
      <c r="B94" t="s">
        <v>146</v>
      </c>
      <c r="C94" s="1">
        <v>47.714199999999998</v>
      </c>
      <c r="D94">
        <v>44</v>
      </c>
      <c r="E94">
        <v>276</v>
      </c>
      <c r="F94" s="1">
        <v>2100.1297546259366</v>
      </c>
      <c r="G94" t="s">
        <v>55</v>
      </c>
      <c r="H94">
        <v>90</v>
      </c>
      <c r="I94">
        <v>25</v>
      </c>
      <c r="J94">
        <v>10</v>
      </c>
      <c r="K94">
        <v>8</v>
      </c>
      <c r="L94" t="s">
        <v>27</v>
      </c>
      <c r="M94" s="1">
        <v>4.4695000261236011</v>
      </c>
      <c r="N94" t="s">
        <v>61</v>
      </c>
      <c r="O94" t="s">
        <v>29</v>
      </c>
      <c r="P94">
        <v>4</v>
      </c>
      <c r="Q94">
        <v>671</v>
      </c>
      <c r="R94">
        <v>29</v>
      </c>
      <c r="S94" s="1">
        <v>62.612699999999997</v>
      </c>
      <c r="T94" t="s">
        <v>64</v>
      </c>
      <c r="U94">
        <v>0.33343182522473924</v>
      </c>
      <c r="V94" t="s">
        <v>47</v>
      </c>
      <c r="W94" t="s">
        <v>32</v>
      </c>
      <c r="X94" s="1">
        <v>230.09280000000001</v>
      </c>
      <c r="Y94" s="1">
        <f>supply_chain_data3[Revenue generated]-(supply_chain_data3[Manufacturing costs]+supply_chain_data3[Shipping costs]+supply_chain_data3[Costs])</f>
        <v>1802.954754599813</v>
      </c>
      <c r="Z94" s="5">
        <f>supply_chain_data3[Stock levels]+supply_chain_data3[Production volumes]+supply_chain_data3[Order quantities]-supply_chain_data3[Number of products sold]</f>
        <v>495</v>
      </c>
      <c r="AA94">
        <f>supply_chain_data3[Production volumes]*supply_chain_data3[Defect rates]</f>
        <v>223.73275472580002</v>
      </c>
    </row>
    <row r="95" spans="1:27" x14ac:dyDescent="0.25">
      <c r="A95" t="s">
        <v>24</v>
      </c>
      <c r="B95" t="s">
        <v>147</v>
      </c>
      <c r="C95" s="1">
        <v>69.290800000000004</v>
      </c>
      <c r="D95">
        <v>88</v>
      </c>
      <c r="E95">
        <v>114</v>
      </c>
      <c r="F95" s="1">
        <v>4531.4021336919095</v>
      </c>
      <c r="G95" t="s">
        <v>38</v>
      </c>
      <c r="H95">
        <v>63</v>
      </c>
      <c r="I95">
        <v>17</v>
      </c>
      <c r="J95">
        <v>66</v>
      </c>
      <c r="K95">
        <v>1</v>
      </c>
      <c r="L95" t="s">
        <v>43</v>
      </c>
      <c r="M95" s="1">
        <v>7.0064320590043945</v>
      </c>
      <c r="N95" t="s">
        <v>52</v>
      </c>
      <c r="O95" t="s">
        <v>62</v>
      </c>
      <c r="P95">
        <v>21</v>
      </c>
      <c r="Q95">
        <v>824</v>
      </c>
      <c r="R95">
        <v>20</v>
      </c>
      <c r="S95" s="1">
        <v>35.633699999999997</v>
      </c>
      <c r="T95" t="s">
        <v>46</v>
      </c>
      <c r="U95">
        <v>4.1657817954241452</v>
      </c>
      <c r="V95" t="s">
        <v>40</v>
      </c>
      <c r="W95" t="s">
        <v>48</v>
      </c>
      <c r="X95" s="1">
        <v>823.52380000000005</v>
      </c>
      <c r="Y95" s="1">
        <f>supply_chain_data3[Revenue generated]-(supply_chain_data3[Manufacturing costs]+supply_chain_data3[Shipping costs]+supply_chain_data3[Costs])</f>
        <v>3665.2382016329052</v>
      </c>
      <c r="Z95" s="5">
        <f>supply_chain_data3[Stock levels]+supply_chain_data3[Production volumes]+supply_chain_data3[Order quantities]-supply_chain_data3[Number of products sold]</f>
        <v>839</v>
      </c>
      <c r="AA95">
        <f>supply_chain_data3[Production volumes]*supply_chain_data3[Defect rates]</f>
        <v>3432.6041994294956</v>
      </c>
    </row>
    <row r="96" spans="1:27" x14ac:dyDescent="0.25">
      <c r="A96" t="s">
        <v>57</v>
      </c>
      <c r="B96" t="s">
        <v>148</v>
      </c>
      <c r="C96" s="1">
        <v>3.0377000000000001</v>
      </c>
      <c r="D96">
        <v>97</v>
      </c>
      <c r="E96">
        <v>987</v>
      </c>
      <c r="F96" s="1">
        <v>7888.3565466618729</v>
      </c>
      <c r="G96" t="s">
        <v>38</v>
      </c>
      <c r="H96">
        <v>77</v>
      </c>
      <c r="I96">
        <v>26</v>
      </c>
      <c r="J96">
        <v>72</v>
      </c>
      <c r="K96">
        <v>9</v>
      </c>
      <c r="L96" t="s">
        <v>27</v>
      </c>
      <c r="M96" s="1">
        <v>6.9429459420325808</v>
      </c>
      <c r="N96" t="s">
        <v>61</v>
      </c>
      <c r="O96" t="s">
        <v>50</v>
      </c>
      <c r="P96">
        <v>12</v>
      </c>
      <c r="Q96">
        <v>908</v>
      </c>
      <c r="R96">
        <v>14</v>
      </c>
      <c r="S96" s="1">
        <v>60.3874</v>
      </c>
      <c r="T96" t="s">
        <v>64</v>
      </c>
      <c r="U96">
        <v>1.4636074984727798</v>
      </c>
      <c r="V96" t="s">
        <v>47</v>
      </c>
      <c r="W96" t="s">
        <v>32</v>
      </c>
      <c r="X96" s="1">
        <v>846.6653</v>
      </c>
      <c r="Y96" s="1">
        <f>supply_chain_data3[Revenue generated]-(supply_chain_data3[Manufacturing costs]+supply_chain_data3[Shipping costs]+supply_chain_data3[Costs])</f>
        <v>6974.3609007198402</v>
      </c>
      <c r="Z96" s="5">
        <f>supply_chain_data3[Stock levels]+supply_chain_data3[Production volumes]+supply_chain_data3[Order quantities]-supply_chain_data3[Number of products sold]</f>
        <v>70</v>
      </c>
      <c r="AA96">
        <f>supply_chain_data3[Production volumes]*supply_chain_data3[Defect rates]</f>
        <v>1328.9556086132841</v>
      </c>
    </row>
    <row r="97" spans="1:27" x14ac:dyDescent="0.25">
      <c r="A97" t="s">
        <v>24</v>
      </c>
      <c r="B97" t="s">
        <v>149</v>
      </c>
      <c r="C97" s="1">
        <v>77.903899999999993</v>
      </c>
      <c r="D97">
        <v>65</v>
      </c>
      <c r="E97">
        <v>672</v>
      </c>
      <c r="F97" s="1">
        <v>7386.3639440486641</v>
      </c>
      <c r="G97" t="s">
        <v>38</v>
      </c>
      <c r="H97">
        <v>15</v>
      </c>
      <c r="I97">
        <v>14</v>
      </c>
      <c r="J97">
        <v>26</v>
      </c>
      <c r="K97">
        <v>9</v>
      </c>
      <c r="L97" t="s">
        <v>27</v>
      </c>
      <c r="M97" s="1">
        <v>8.6303388696027543</v>
      </c>
      <c r="N97" t="s">
        <v>52</v>
      </c>
      <c r="O97" t="s">
        <v>29</v>
      </c>
      <c r="P97">
        <v>18</v>
      </c>
      <c r="Q97">
        <v>450</v>
      </c>
      <c r="R97">
        <v>26</v>
      </c>
      <c r="S97" s="1">
        <v>58.890700000000002</v>
      </c>
      <c r="T97" t="s">
        <v>30</v>
      </c>
      <c r="U97">
        <v>1.2108821295850665</v>
      </c>
      <c r="V97" t="s">
        <v>40</v>
      </c>
      <c r="W97" t="s">
        <v>48</v>
      </c>
      <c r="X97" s="1">
        <v>778.86419999999998</v>
      </c>
      <c r="Y97" s="1">
        <f>supply_chain_data3[Revenue generated]-(supply_chain_data3[Manufacturing costs]+supply_chain_data3[Shipping costs]+supply_chain_data3[Costs])</f>
        <v>6539.9787051790609</v>
      </c>
      <c r="Z97" s="5">
        <f>supply_chain_data3[Stock levels]+supply_chain_data3[Production volumes]+supply_chain_data3[Order quantities]-supply_chain_data3[Number of products sold]</f>
        <v>-181</v>
      </c>
      <c r="AA97">
        <f>supply_chain_data3[Production volumes]*supply_chain_data3[Defect rates]</f>
        <v>544.89695831327992</v>
      </c>
    </row>
    <row r="98" spans="1:27" x14ac:dyDescent="0.25">
      <c r="A98" t="s">
        <v>57</v>
      </c>
      <c r="B98" t="s">
        <v>150</v>
      </c>
      <c r="C98" s="1">
        <v>24.423100000000002</v>
      </c>
      <c r="D98">
        <v>29</v>
      </c>
      <c r="E98">
        <v>324</v>
      </c>
      <c r="F98" s="1">
        <v>7698.4247656321168</v>
      </c>
      <c r="G98" t="s">
        <v>26</v>
      </c>
      <c r="H98">
        <v>67</v>
      </c>
      <c r="I98">
        <v>2</v>
      </c>
      <c r="J98">
        <v>32</v>
      </c>
      <c r="K98">
        <v>3</v>
      </c>
      <c r="L98" t="s">
        <v>43</v>
      </c>
      <c r="M98" s="1">
        <v>5.3528780439968093</v>
      </c>
      <c r="N98" t="s">
        <v>28</v>
      </c>
      <c r="O98" t="s">
        <v>29</v>
      </c>
      <c r="P98">
        <v>28</v>
      </c>
      <c r="Q98">
        <v>648</v>
      </c>
      <c r="R98">
        <v>28</v>
      </c>
      <c r="S98" s="1">
        <v>17.803799999999999</v>
      </c>
      <c r="T98" t="s">
        <v>30</v>
      </c>
      <c r="U98">
        <v>3.8720476814821332</v>
      </c>
      <c r="V98" t="s">
        <v>31</v>
      </c>
      <c r="W98" t="s">
        <v>48</v>
      </c>
      <c r="X98" s="1">
        <v>188.74209999999999</v>
      </c>
      <c r="Y98" s="1">
        <f>supply_chain_data3[Revenue generated]-(supply_chain_data3[Manufacturing costs]+supply_chain_data3[Shipping costs]+supply_chain_data3[Costs])</f>
        <v>7486.5259875881202</v>
      </c>
      <c r="Z98" s="5">
        <f>supply_chain_data3[Stock levels]+supply_chain_data3[Production volumes]+supply_chain_data3[Order quantities]-supply_chain_data3[Number of products sold]</f>
        <v>423</v>
      </c>
      <c r="AA98">
        <f>supply_chain_data3[Production volumes]*supply_chain_data3[Defect rates]</f>
        <v>2509.0868976004222</v>
      </c>
    </row>
    <row r="99" spans="1:27" x14ac:dyDescent="0.25">
      <c r="A99" t="s">
        <v>24</v>
      </c>
      <c r="B99" t="s">
        <v>151</v>
      </c>
      <c r="C99" s="1">
        <v>3.5261</v>
      </c>
      <c r="D99">
        <v>56</v>
      </c>
      <c r="E99">
        <v>62</v>
      </c>
      <c r="F99" s="1">
        <v>4370.9165799845359</v>
      </c>
      <c r="G99" t="s">
        <v>55</v>
      </c>
      <c r="H99">
        <v>46</v>
      </c>
      <c r="I99">
        <v>19</v>
      </c>
      <c r="J99">
        <v>4</v>
      </c>
      <c r="K99">
        <v>9</v>
      </c>
      <c r="L99" t="s">
        <v>36</v>
      </c>
      <c r="M99" s="1">
        <v>7.9048456112096748</v>
      </c>
      <c r="N99" t="s">
        <v>52</v>
      </c>
      <c r="O99" t="s">
        <v>29</v>
      </c>
      <c r="P99">
        <v>10</v>
      </c>
      <c r="Q99">
        <v>535</v>
      </c>
      <c r="R99">
        <v>13</v>
      </c>
      <c r="S99" s="1">
        <v>65.765199999999993</v>
      </c>
      <c r="T99" t="s">
        <v>46</v>
      </c>
      <c r="U99">
        <v>3.3762378347179811</v>
      </c>
      <c r="V99" t="s">
        <v>31</v>
      </c>
      <c r="W99" t="s">
        <v>48</v>
      </c>
      <c r="X99" s="1">
        <v>540.13239999999996</v>
      </c>
      <c r="Y99" s="1">
        <f>supply_chain_data3[Revenue generated]-(supply_chain_data3[Manufacturing costs]+supply_chain_data3[Shipping costs]+supply_chain_data3[Costs])</f>
        <v>3757.1141343733261</v>
      </c>
      <c r="Z99" s="5">
        <f>supply_chain_data3[Stock levels]+supply_chain_data3[Production volumes]+supply_chain_data3[Order quantities]-supply_chain_data3[Number of products sold]</f>
        <v>523</v>
      </c>
      <c r="AA99">
        <f>supply_chain_data3[Production volumes]*supply_chain_data3[Defect rates]</f>
        <v>1806.2872415741199</v>
      </c>
    </row>
    <row r="100" spans="1:27" x14ac:dyDescent="0.25">
      <c r="A100" t="s">
        <v>33</v>
      </c>
      <c r="B100" t="s">
        <v>152</v>
      </c>
      <c r="C100" s="1">
        <v>19.7546</v>
      </c>
      <c r="D100">
        <v>43</v>
      </c>
      <c r="E100">
        <v>913</v>
      </c>
      <c r="F100" s="1">
        <v>8525.9525596835265</v>
      </c>
      <c r="G100" t="s">
        <v>35</v>
      </c>
      <c r="H100">
        <v>53</v>
      </c>
      <c r="I100">
        <v>1</v>
      </c>
      <c r="J100">
        <v>27</v>
      </c>
      <c r="K100">
        <v>7</v>
      </c>
      <c r="L100" t="s">
        <v>27</v>
      </c>
      <c r="M100" s="1">
        <v>1.4098010951380731</v>
      </c>
      <c r="N100" t="s">
        <v>44</v>
      </c>
      <c r="O100" t="s">
        <v>62</v>
      </c>
      <c r="P100">
        <v>28</v>
      </c>
      <c r="Q100">
        <v>581</v>
      </c>
      <c r="R100">
        <v>9</v>
      </c>
      <c r="S100" s="1">
        <v>5.6047000000000002</v>
      </c>
      <c r="T100" t="s">
        <v>30</v>
      </c>
      <c r="U100">
        <v>2.9081221693512611</v>
      </c>
      <c r="V100" t="s">
        <v>47</v>
      </c>
      <c r="W100" t="s">
        <v>48</v>
      </c>
      <c r="X100" s="1">
        <v>882.19889999999998</v>
      </c>
      <c r="Y100" s="1">
        <f>supply_chain_data3[Revenue generated]-(supply_chain_data3[Manufacturing costs]+supply_chain_data3[Shipping costs]+supply_chain_data3[Costs])</f>
        <v>7636.7391585883888</v>
      </c>
      <c r="Z100" s="5">
        <f>supply_chain_data3[Stock levels]+supply_chain_data3[Production volumes]+supply_chain_data3[Order quantities]-supply_chain_data3[Number of products sold]</f>
        <v>-252</v>
      </c>
      <c r="AA100">
        <f>supply_chain_data3[Production volumes]*supply_chain_data3[Defect rates]</f>
        <v>1689.6189803930827</v>
      </c>
    </row>
    <row r="101" spans="1:27" x14ac:dyDescent="0.25">
      <c r="A101" t="s">
        <v>24</v>
      </c>
      <c r="B101" t="s">
        <v>153</v>
      </c>
      <c r="C101" s="1">
        <v>68.517799999999994</v>
      </c>
      <c r="D101">
        <v>17</v>
      </c>
      <c r="E101">
        <v>627</v>
      </c>
      <c r="F101" s="1">
        <v>9185.1858291817043</v>
      </c>
      <c r="G101" t="s">
        <v>38</v>
      </c>
      <c r="H101">
        <v>55</v>
      </c>
      <c r="I101">
        <v>8</v>
      </c>
      <c r="J101">
        <v>59</v>
      </c>
      <c r="K101">
        <v>6</v>
      </c>
      <c r="L101" t="s">
        <v>27</v>
      </c>
      <c r="M101" s="1">
        <v>1.3110237561206226</v>
      </c>
      <c r="N101" t="s">
        <v>61</v>
      </c>
      <c r="O101" t="s">
        <v>62</v>
      </c>
      <c r="P101">
        <v>29</v>
      </c>
      <c r="Q101">
        <v>921</v>
      </c>
      <c r="R101">
        <v>2</v>
      </c>
      <c r="S101" s="1">
        <v>38.072899999999997</v>
      </c>
      <c r="T101" t="s">
        <v>46</v>
      </c>
      <c r="U101">
        <v>0.34602729070550342</v>
      </c>
      <c r="V101" t="s">
        <v>47</v>
      </c>
      <c r="W101" t="s">
        <v>32</v>
      </c>
      <c r="X101" s="1">
        <v>210.74299999999999</v>
      </c>
      <c r="Y101" s="1">
        <f>supply_chain_data3[Revenue generated]-(supply_chain_data3[Manufacturing costs]+supply_chain_data3[Shipping costs]+supply_chain_data3[Costs])</f>
        <v>8935.0589054255834</v>
      </c>
      <c r="Z101" s="5">
        <f>supply_chain_data3[Stock levels]+supply_chain_data3[Production volumes]+supply_chain_data3[Order quantities]-supply_chain_data3[Number of products sold]</f>
        <v>408</v>
      </c>
      <c r="AA101">
        <f>supply_chain_data3[Production volumes]*supply_chain_data3[Defect rates]</f>
        <v>318.69113473976864</v>
      </c>
    </row>
  </sheetData>
  <mergeCells count="1">
    <mergeCell ref="AC3:AF3"/>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5D09C-5813-45DB-9077-B663D84832CC}">
  <dimension ref="A1:E51"/>
  <sheetViews>
    <sheetView zoomScale="90" zoomScaleNormal="90" workbookViewId="0">
      <selection activeCell="P39" sqref="P39"/>
    </sheetView>
  </sheetViews>
  <sheetFormatPr defaultRowHeight="15" x14ac:dyDescent="0.25"/>
  <cols>
    <col min="1" max="1" width="11.42578125" bestFit="1" customWidth="1"/>
    <col min="2" max="2" width="13.42578125" bestFit="1" customWidth="1"/>
    <col min="3" max="3" width="25.5703125" bestFit="1" customWidth="1"/>
    <col min="4" max="4" width="13.42578125" bestFit="1" customWidth="1"/>
    <col min="5" max="101" width="11.28515625" bestFit="1" customWidth="1"/>
    <col min="102" max="102" width="13.42578125" bestFit="1" customWidth="1"/>
  </cols>
  <sheetData>
    <row r="1" spans="1:4" x14ac:dyDescent="0.25">
      <c r="A1" s="3" t="s">
        <v>154</v>
      </c>
      <c r="B1" t="s">
        <v>158</v>
      </c>
      <c r="C1" t="s">
        <v>165</v>
      </c>
    </row>
    <row r="2" spans="1:4" x14ac:dyDescent="0.25">
      <c r="A2" s="4" t="s">
        <v>57</v>
      </c>
      <c r="B2">
        <v>11757</v>
      </c>
      <c r="C2" s="1">
        <v>146877.93363689139</v>
      </c>
    </row>
    <row r="3" spans="1:4" x14ac:dyDescent="0.25">
      <c r="A3" s="4" t="s">
        <v>24</v>
      </c>
      <c r="B3">
        <v>13611</v>
      </c>
      <c r="C3" s="1">
        <v>155278.09237086662</v>
      </c>
    </row>
    <row r="4" spans="1:4" x14ac:dyDescent="0.25">
      <c r="A4" s="4" t="s">
        <v>33</v>
      </c>
      <c r="B4">
        <v>20731</v>
      </c>
      <c r="C4" s="1">
        <v>217242.72982304875</v>
      </c>
    </row>
    <row r="5" spans="1:4" x14ac:dyDescent="0.25">
      <c r="A5" s="4" t="s">
        <v>155</v>
      </c>
      <c r="B5">
        <v>46099</v>
      </c>
      <c r="C5" s="1">
        <v>519398.75583080674</v>
      </c>
    </row>
    <row r="7" spans="1:4" x14ac:dyDescent="0.25">
      <c r="A7" s="3" t="s">
        <v>154</v>
      </c>
      <c r="B7" t="s">
        <v>159</v>
      </c>
      <c r="C7" t="s">
        <v>205</v>
      </c>
      <c r="D7" t="s">
        <v>165</v>
      </c>
    </row>
    <row r="8" spans="1:4" x14ac:dyDescent="0.25">
      <c r="A8" s="4" t="s">
        <v>53</v>
      </c>
      <c r="B8">
        <v>769</v>
      </c>
      <c r="C8" s="1">
        <v>102601.72388223576</v>
      </c>
      <c r="D8" s="1">
        <v>90821.62066641025</v>
      </c>
    </row>
    <row r="9" spans="1:4" x14ac:dyDescent="0.25">
      <c r="A9" s="4" t="s">
        <v>62</v>
      </c>
      <c r="B9">
        <v>1109</v>
      </c>
      <c r="C9" s="1">
        <v>119142.81574806941</v>
      </c>
      <c r="D9" s="1">
        <v>105591.12027157335</v>
      </c>
    </row>
    <row r="10" spans="1:4" x14ac:dyDescent="0.25">
      <c r="A10" s="4" t="s">
        <v>50</v>
      </c>
      <c r="B10">
        <v>733</v>
      </c>
      <c r="C10" s="1">
        <v>81027.701224853008</v>
      </c>
      <c r="D10" s="1">
        <v>71994.884309806992</v>
      </c>
    </row>
    <row r="11" spans="1:4" x14ac:dyDescent="0.25">
      <c r="A11" s="4" t="s">
        <v>45</v>
      </c>
      <c r="B11">
        <v>1228</v>
      </c>
      <c r="C11" s="1">
        <v>137077.5510053811</v>
      </c>
      <c r="D11" s="1">
        <v>123605.19235852355</v>
      </c>
    </row>
    <row r="12" spans="1:4" x14ac:dyDescent="0.25">
      <c r="A12" s="4" t="s">
        <v>29</v>
      </c>
      <c r="B12">
        <v>1083</v>
      </c>
      <c r="C12" s="1">
        <v>137755.02687746938</v>
      </c>
      <c r="D12" s="1">
        <v>127385.93822449261</v>
      </c>
    </row>
    <row r="13" spans="1:4" x14ac:dyDescent="0.25">
      <c r="A13" s="4" t="s">
        <v>155</v>
      </c>
      <c r="B13">
        <v>4922</v>
      </c>
      <c r="C13" s="1">
        <v>577604.81873800862</v>
      </c>
      <c r="D13" s="1">
        <v>519398.75583080674</v>
      </c>
    </row>
    <row r="14" spans="1:4" x14ac:dyDescent="0.25">
      <c r="A14" s="4"/>
      <c r="C14" s="1"/>
      <c r="D14" s="1"/>
    </row>
    <row r="15" spans="1:4" x14ac:dyDescent="0.25">
      <c r="A15" s="3" t="s">
        <v>154</v>
      </c>
      <c r="B15" t="s">
        <v>157</v>
      </c>
    </row>
    <row r="16" spans="1:4" x14ac:dyDescent="0.25">
      <c r="A16" s="4" t="s">
        <v>35</v>
      </c>
      <c r="B16">
        <v>25</v>
      </c>
    </row>
    <row r="17" spans="1:5" x14ac:dyDescent="0.25">
      <c r="A17" s="4" t="s">
        <v>55</v>
      </c>
      <c r="B17">
        <v>21</v>
      </c>
    </row>
    <row r="18" spans="1:5" x14ac:dyDescent="0.25">
      <c r="A18" s="4" t="s">
        <v>26</v>
      </c>
      <c r="B18">
        <v>23</v>
      </c>
    </row>
    <row r="19" spans="1:5" x14ac:dyDescent="0.25">
      <c r="A19" s="4" t="s">
        <v>38</v>
      </c>
      <c r="B19">
        <v>31</v>
      </c>
    </row>
    <row r="20" spans="1:5" x14ac:dyDescent="0.25">
      <c r="A20" s="4" t="s">
        <v>155</v>
      </c>
      <c r="B20">
        <v>100</v>
      </c>
    </row>
    <row r="22" spans="1:5" x14ac:dyDescent="0.25">
      <c r="A22" s="3" t="s">
        <v>182</v>
      </c>
      <c r="B22" t="s">
        <v>165</v>
      </c>
    </row>
    <row r="23" spans="1:5" x14ac:dyDescent="0.25">
      <c r="A23" s="4" t="s">
        <v>25</v>
      </c>
      <c r="B23" s="1">
        <v>8425.008220252952</v>
      </c>
    </row>
    <row r="24" spans="1:5" x14ac:dyDescent="0.25">
      <c r="A24" s="4" t="s">
        <v>72</v>
      </c>
      <c r="B24" s="1">
        <v>8739.7459803620623</v>
      </c>
    </row>
    <row r="25" spans="1:5" x14ac:dyDescent="0.25">
      <c r="A25" s="4" t="s">
        <v>37</v>
      </c>
      <c r="B25" s="1">
        <v>9397.0868466069969</v>
      </c>
    </row>
    <row r="26" spans="1:5" x14ac:dyDescent="0.25">
      <c r="A26" s="4" t="s">
        <v>77</v>
      </c>
      <c r="B26" s="1">
        <v>8560.5033134103378</v>
      </c>
    </row>
    <row r="27" spans="1:5" x14ac:dyDescent="0.25">
      <c r="A27" s="4" t="s">
        <v>78</v>
      </c>
      <c r="B27" s="1">
        <v>8240.2293692506119</v>
      </c>
    </row>
    <row r="28" spans="1:5" x14ac:dyDescent="0.25">
      <c r="A28" s="4" t="s">
        <v>85</v>
      </c>
      <c r="B28" s="1">
        <v>8982.8251417544161</v>
      </c>
    </row>
    <row r="29" spans="1:5" x14ac:dyDescent="0.25">
      <c r="A29" s="4" t="s">
        <v>86</v>
      </c>
      <c r="B29" s="1">
        <v>8774.0849824265806</v>
      </c>
    </row>
    <row r="30" spans="1:5" x14ac:dyDescent="0.25">
      <c r="A30" s="4" t="s">
        <v>88</v>
      </c>
      <c r="B30" s="1">
        <v>8539.579107936901</v>
      </c>
    </row>
    <row r="31" spans="1:5" x14ac:dyDescent="0.25">
      <c r="A31" s="4" t="s">
        <v>92</v>
      </c>
      <c r="B31" s="1">
        <v>9337.4785087811815</v>
      </c>
      <c r="D31" s="12" t="s">
        <v>182</v>
      </c>
      <c r="E31" s="12" t="s">
        <v>165</v>
      </c>
    </row>
    <row r="32" spans="1:5" x14ac:dyDescent="0.25">
      <c r="A32" s="4" t="s">
        <v>105</v>
      </c>
      <c r="B32" s="1">
        <v>9152.50985742175</v>
      </c>
      <c r="D32" s="4" t="s">
        <v>25</v>
      </c>
      <c r="E32" s="1">
        <f t="shared" ref="E32:E51" si="0">GETPIVOTDATA("Profit",$A$22,"SKU",$A23)</f>
        <v>8425.008220252952</v>
      </c>
    </row>
    <row r="33" spans="1:5" x14ac:dyDescent="0.25">
      <c r="A33" s="4" t="s">
        <v>106</v>
      </c>
      <c r="B33" s="1">
        <v>8815.0662567323598</v>
      </c>
      <c r="D33" s="4" t="s">
        <v>72</v>
      </c>
      <c r="E33" s="1">
        <f t="shared" si="0"/>
        <v>8739.7459803620623</v>
      </c>
    </row>
    <row r="34" spans="1:5" x14ac:dyDescent="0.25">
      <c r="A34" s="4" t="s">
        <v>114</v>
      </c>
      <c r="B34" s="1">
        <v>8342.3207814283342</v>
      </c>
      <c r="D34" s="4" t="s">
        <v>37</v>
      </c>
      <c r="E34" s="1">
        <f t="shared" si="0"/>
        <v>9397.0868466069969</v>
      </c>
    </row>
    <row r="35" spans="1:5" x14ac:dyDescent="0.25">
      <c r="A35" s="4" t="s">
        <v>119</v>
      </c>
      <c r="B35" s="1">
        <v>7790.5428451341104</v>
      </c>
      <c r="D35" s="4" t="s">
        <v>77</v>
      </c>
      <c r="E35" s="1">
        <f t="shared" si="0"/>
        <v>8560.5033134103378</v>
      </c>
    </row>
    <row r="36" spans="1:5" x14ac:dyDescent="0.25">
      <c r="A36" s="4" t="s">
        <v>120</v>
      </c>
      <c r="B36" s="1">
        <v>7929.5777752913827</v>
      </c>
      <c r="D36" s="4" t="s">
        <v>78</v>
      </c>
      <c r="E36" s="1">
        <f t="shared" si="0"/>
        <v>8240.2293692506119</v>
      </c>
    </row>
    <row r="37" spans="1:5" x14ac:dyDescent="0.25">
      <c r="A37" s="4" t="s">
        <v>121</v>
      </c>
      <c r="B37" s="1">
        <v>9288.3205209636271</v>
      </c>
      <c r="D37" s="4" t="s">
        <v>85</v>
      </c>
      <c r="E37" s="1">
        <f t="shared" si="0"/>
        <v>8982.8251417544161</v>
      </c>
    </row>
    <row r="38" spans="1:5" x14ac:dyDescent="0.25">
      <c r="A38" s="4" t="s">
        <v>134</v>
      </c>
      <c r="B38" s="1">
        <v>7784.0983983026463</v>
      </c>
      <c r="D38" s="4" t="s">
        <v>86</v>
      </c>
      <c r="E38" s="1">
        <f t="shared" si="0"/>
        <v>8774.0849824265806</v>
      </c>
    </row>
    <row r="39" spans="1:5" x14ac:dyDescent="0.25">
      <c r="A39" s="4" t="s">
        <v>139</v>
      </c>
      <c r="B39" s="1">
        <v>7763.7477905489859</v>
      </c>
      <c r="D39" s="4" t="s">
        <v>88</v>
      </c>
      <c r="E39" s="1">
        <f t="shared" si="0"/>
        <v>8539.579107936901</v>
      </c>
    </row>
    <row r="40" spans="1:5" x14ac:dyDescent="0.25">
      <c r="A40" s="4" t="s">
        <v>142</v>
      </c>
      <c r="B40" s="1">
        <v>9268.8396799300481</v>
      </c>
      <c r="D40" s="4" t="s">
        <v>92</v>
      </c>
      <c r="E40" s="1">
        <f t="shared" si="0"/>
        <v>9337.4785087811815</v>
      </c>
    </row>
    <row r="41" spans="1:5" x14ac:dyDescent="0.25">
      <c r="A41" s="4" t="s">
        <v>144</v>
      </c>
      <c r="B41" s="1">
        <v>8509.2046395721991</v>
      </c>
      <c r="D41" s="4" t="s">
        <v>105</v>
      </c>
      <c r="E41" s="1">
        <f t="shared" si="0"/>
        <v>9152.50985742175</v>
      </c>
    </row>
    <row r="42" spans="1:5" x14ac:dyDescent="0.25">
      <c r="A42" s="4" t="s">
        <v>153</v>
      </c>
      <c r="B42" s="1">
        <v>8935.0589054255834</v>
      </c>
      <c r="D42" s="4" t="s">
        <v>106</v>
      </c>
      <c r="E42" s="1">
        <f t="shared" si="0"/>
        <v>8815.0662567323598</v>
      </c>
    </row>
    <row r="43" spans="1:5" x14ac:dyDescent="0.25">
      <c r="A43" s="4" t="s">
        <v>155</v>
      </c>
      <c r="B43" s="1">
        <v>172575.82892153307</v>
      </c>
      <c r="D43" s="4" t="s">
        <v>114</v>
      </c>
      <c r="E43" s="1">
        <f t="shared" si="0"/>
        <v>8342.3207814283342</v>
      </c>
    </row>
    <row r="44" spans="1:5" x14ac:dyDescent="0.25">
      <c r="D44" s="4" t="s">
        <v>119</v>
      </c>
      <c r="E44" s="1">
        <f t="shared" si="0"/>
        <v>7790.5428451341104</v>
      </c>
    </row>
    <row r="45" spans="1:5" x14ac:dyDescent="0.25">
      <c r="D45" s="4" t="s">
        <v>120</v>
      </c>
      <c r="E45" s="1">
        <f t="shared" si="0"/>
        <v>7929.5777752913827</v>
      </c>
    </row>
    <row r="46" spans="1:5" x14ac:dyDescent="0.25">
      <c r="D46" s="4" t="s">
        <v>121</v>
      </c>
      <c r="E46" s="1">
        <f t="shared" si="0"/>
        <v>9288.3205209636271</v>
      </c>
    </row>
    <row r="47" spans="1:5" x14ac:dyDescent="0.25">
      <c r="D47" s="4" t="s">
        <v>134</v>
      </c>
      <c r="E47" s="1">
        <f t="shared" si="0"/>
        <v>7784.0983983026463</v>
      </c>
    </row>
    <row r="48" spans="1:5" x14ac:dyDescent="0.25">
      <c r="D48" s="4" t="s">
        <v>139</v>
      </c>
      <c r="E48" s="1">
        <f t="shared" si="0"/>
        <v>7763.7477905489859</v>
      </c>
    </row>
    <row r="49" spans="4:5" x14ac:dyDescent="0.25">
      <c r="D49" s="4" t="s">
        <v>142</v>
      </c>
      <c r="E49" s="1">
        <f t="shared" si="0"/>
        <v>9268.8396799300481</v>
      </c>
    </row>
    <row r="50" spans="4:5" x14ac:dyDescent="0.25">
      <c r="D50" s="4" t="s">
        <v>144</v>
      </c>
      <c r="E50" s="1">
        <f t="shared" si="0"/>
        <v>8509.2046395721991</v>
      </c>
    </row>
    <row r="51" spans="4:5" x14ac:dyDescent="0.25">
      <c r="D51" s="4" t="s">
        <v>153</v>
      </c>
      <c r="E51" s="1">
        <f t="shared" si="0"/>
        <v>8935.0589054255834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674B9-93B4-4CDC-A09E-79A898ABCA64}">
  <dimension ref="A1:T109"/>
  <sheetViews>
    <sheetView topLeftCell="H1" zoomScale="96" zoomScaleNormal="96" workbookViewId="0">
      <selection activeCell="P40" sqref="P40:S40"/>
    </sheetView>
  </sheetViews>
  <sheetFormatPr defaultRowHeight="15" x14ac:dyDescent="0.25"/>
  <cols>
    <col min="1" max="1" width="13.28515625" bestFit="1" customWidth="1"/>
    <col min="2" max="2" width="29.85546875" bestFit="1" customWidth="1"/>
    <col min="3" max="3" width="33.5703125" bestFit="1" customWidth="1"/>
    <col min="4" max="4" width="30.140625" bestFit="1" customWidth="1"/>
    <col min="5" max="5" width="16.42578125" bestFit="1" customWidth="1"/>
    <col min="6" max="6" width="11.42578125" customWidth="1"/>
    <col min="7" max="7" width="8.5703125" customWidth="1"/>
    <col min="8" max="8" width="10.7109375" customWidth="1"/>
    <col min="9" max="9" width="9.28515625" customWidth="1"/>
    <col min="10" max="10" width="8.7109375" customWidth="1"/>
    <col min="11" max="11" width="18.85546875" bestFit="1" customWidth="1"/>
    <col min="12" max="12" width="22.28515625" customWidth="1"/>
    <col min="13" max="13" width="20.7109375" bestFit="1" customWidth="1"/>
    <col min="14" max="14" width="12.28515625" bestFit="1" customWidth="1"/>
    <col min="15" max="15" width="10.42578125" customWidth="1"/>
    <col min="16" max="16" width="13.28515625" customWidth="1"/>
    <col min="17" max="17" width="13.28515625" bestFit="1" customWidth="1"/>
    <col min="18" max="18" width="33.5703125" bestFit="1" customWidth="1"/>
    <col min="19" max="19" width="24.5703125" bestFit="1" customWidth="1"/>
    <col min="20" max="20" width="20.85546875" bestFit="1" customWidth="1"/>
    <col min="21" max="21" width="11.85546875" bestFit="1" customWidth="1"/>
    <col min="22" max="22" width="20.42578125" bestFit="1" customWidth="1"/>
    <col min="23" max="24" width="21" bestFit="1" customWidth="1"/>
    <col min="25" max="25" width="20.42578125" bestFit="1" customWidth="1"/>
    <col min="26" max="26" width="12.28515625" bestFit="1" customWidth="1"/>
    <col min="27" max="27" width="26.140625" bestFit="1" customWidth="1"/>
    <col min="28" max="28" width="25.5703125" bestFit="1" customWidth="1"/>
    <col min="29" max="29" width="17.42578125" bestFit="1" customWidth="1"/>
    <col min="30" max="30" width="5.5703125" bestFit="1" customWidth="1"/>
    <col min="31" max="40" width="6.5703125" bestFit="1" customWidth="1"/>
    <col min="41" max="41" width="5.5703125" bestFit="1" customWidth="1"/>
    <col min="42" max="51" width="6.5703125" bestFit="1" customWidth="1"/>
    <col min="52" max="52" width="5.5703125" bestFit="1" customWidth="1"/>
    <col min="53" max="62" width="6.5703125" bestFit="1" customWidth="1"/>
    <col min="63" max="63" width="5.5703125" bestFit="1" customWidth="1"/>
    <col min="64" max="73" width="6.5703125" bestFit="1" customWidth="1"/>
    <col min="74" max="74" width="5.5703125" bestFit="1" customWidth="1"/>
    <col min="75" max="84" width="6.5703125" bestFit="1" customWidth="1"/>
    <col min="85" max="85" width="5.5703125" bestFit="1" customWidth="1"/>
    <col min="86" max="95" width="6.5703125" bestFit="1" customWidth="1"/>
    <col min="96" max="96" width="5.5703125" bestFit="1" customWidth="1"/>
    <col min="97" max="106" width="6.5703125" bestFit="1" customWidth="1"/>
    <col min="107" max="107" width="11.28515625" bestFit="1" customWidth="1"/>
    <col min="108" max="108" width="8.42578125" bestFit="1" customWidth="1"/>
    <col min="109" max="109" width="11.42578125" bestFit="1" customWidth="1"/>
    <col min="110" max="110" width="8.42578125" bestFit="1" customWidth="1"/>
    <col min="111" max="111" width="11.42578125" bestFit="1" customWidth="1"/>
    <col min="112" max="112" width="8.42578125" bestFit="1" customWidth="1"/>
    <col min="113" max="113" width="11.42578125" bestFit="1" customWidth="1"/>
    <col min="114" max="114" width="8.42578125" bestFit="1" customWidth="1"/>
    <col min="115" max="115" width="11.42578125" bestFit="1" customWidth="1"/>
    <col min="116" max="116" width="9.7109375" bestFit="1" customWidth="1"/>
    <col min="117" max="117" width="11.42578125" bestFit="1" customWidth="1"/>
    <col min="118" max="118" width="8.28515625" bestFit="1" customWidth="1"/>
    <col min="119" max="119" width="10.42578125" bestFit="1" customWidth="1"/>
    <col min="120" max="120" width="8.42578125" bestFit="1" customWidth="1"/>
    <col min="121" max="121" width="11.42578125" bestFit="1" customWidth="1"/>
    <col min="122" max="122" width="8.42578125" bestFit="1" customWidth="1"/>
    <col min="123" max="123" width="11.42578125" bestFit="1" customWidth="1"/>
    <col min="124" max="124" width="9.7109375" bestFit="1" customWidth="1"/>
    <col min="125" max="125" width="11.42578125" bestFit="1" customWidth="1"/>
    <col min="126" max="126" width="8.42578125" bestFit="1" customWidth="1"/>
    <col min="127" max="127" width="11.42578125" bestFit="1" customWidth="1"/>
    <col min="128" max="128" width="8.42578125" bestFit="1" customWidth="1"/>
    <col min="129" max="129" width="11.42578125" bestFit="1" customWidth="1"/>
    <col min="130" max="130" width="8.42578125" bestFit="1" customWidth="1"/>
    <col min="131" max="131" width="11.42578125" bestFit="1" customWidth="1"/>
    <col min="132" max="132" width="8.42578125" bestFit="1" customWidth="1"/>
    <col min="133" max="133" width="11.42578125" bestFit="1" customWidth="1"/>
    <col min="134" max="134" width="8.42578125" bestFit="1" customWidth="1"/>
    <col min="135" max="135" width="11.42578125" bestFit="1" customWidth="1"/>
    <col min="136" max="136" width="8.42578125" bestFit="1" customWidth="1"/>
    <col min="137" max="137" width="11.42578125" bestFit="1" customWidth="1"/>
    <col min="138" max="138" width="8.42578125" bestFit="1" customWidth="1"/>
    <col min="139" max="139" width="11.42578125" bestFit="1" customWidth="1"/>
    <col min="140" max="140" width="9.7109375" bestFit="1" customWidth="1"/>
    <col min="141" max="141" width="10.42578125" bestFit="1" customWidth="1"/>
    <col min="142" max="142" width="8.42578125" bestFit="1" customWidth="1"/>
    <col min="143" max="143" width="11.42578125" bestFit="1" customWidth="1"/>
    <col min="144" max="144" width="9.7109375" bestFit="1" customWidth="1"/>
    <col min="145" max="145" width="11.42578125" bestFit="1" customWidth="1"/>
    <col min="146" max="146" width="9.7109375" bestFit="1" customWidth="1"/>
    <col min="147" max="147" width="11.42578125" bestFit="1" customWidth="1"/>
    <col min="148" max="148" width="9.7109375" bestFit="1" customWidth="1"/>
    <col min="149" max="149" width="11.42578125" bestFit="1" customWidth="1"/>
    <col min="150" max="150" width="8.42578125" bestFit="1" customWidth="1"/>
    <col min="151" max="151" width="11.42578125" bestFit="1" customWidth="1"/>
    <col min="152" max="152" width="8.42578125" bestFit="1" customWidth="1"/>
    <col min="153" max="153" width="11.42578125" bestFit="1" customWidth="1"/>
    <col min="154" max="154" width="8.42578125" bestFit="1" customWidth="1"/>
    <col min="155" max="155" width="11.42578125" bestFit="1" customWidth="1"/>
    <col min="156" max="156" width="8.42578125" bestFit="1" customWidth="1"/>
    <col min="157" max="157" width="11.42578125" bestFit="1" customWidth="1"/>
    <col min="158" max="158" width="8.42578125" bestFit="1" customWidth="1"/>
    <col min="159" max="159" width="11.42578125" bestFit="1" customWidth="1"/>
    <col min="160" max="160" width="8.42578125" bestFit="1" customWidth="1"/>
    <col min="161" max="161" width="11.42578125" bestFit="1" customWidth="1"/>
    <col min="162" max="162" width="9.7109375" bestFit="1" customWidth="1"/>
    <col min="163" max="163" width="10.42578125" bestFit="1" customWidth="1"/>
    <col min="164" max="164" width="8.42578125" bestFit="1" customWidth="1"/>
    <col min="165" max="165" width="11.42578125" bestFit="1" customWidth="1"/>
    <col min="166" max="166" width="8.42578125" bestFit="1" customWidth="1"/>
    <col min="167" max="167" width="11.42578125" bestFit="1" customWidth="1"/>
    <col min="168" max="168" width="8.42578125" bestFit="1" customWidth="1"/>
    <col min="169" max="169" width="11.42578125" bestFit="1" customWidth="1"/>
    <col min="170" max="170" width="8.42578125" bestFit="1" customWidth="1"/>
    <col min="171" max="171" width="11.42578125" bestFit="1" customWidth="1"/>
    <col min="172" max="172" width="8.42578125" bestFit="1" customWidth="1"/>
    <col min="173" max="173" width="11.42578125" bestFit="1" customWidth="1"/>
    <col min="174" max="174" width="9.7109375" bestFit="1" customWidth="1"/>
    <col min="175" max="175" width="11.42578125" bestFit="1" customWidth="1"/>
    <col min="176" max="176" width="8.42578125" bestFit="1" customWidth="1"/>
    <col min="177" max="177" width="11.42578125" bestFit="1" customWidth="1"/>
    <col min="178" max="178" width="8.42578125" bestFit="1" customWidth="1"/>
    <col min="179" max="179" width="11.42578125" bestFit="1" customWidth="1"/>
    <col min="180" max="180" width="9.7109375" bestFit="1" customWidth="1"/>
    <col min="181" max="181" width="11.42578125" bestFit="1" customWidth="1"/>
    <col min="182" max="182" width="9.7109375" bestFit="1" customWidth="1"/>
    <col min="183" max="183" width="11.42578125" bestFit="1" customWidth="1"/>
    <col min="184" max="184" width="8.28515625" bestFit="1" customWidth="1"/>
    <col min="185" max="185" width="10.42578125" bestFit="1" customWidth="1"/>
    <col min="186" max="186" width="8.42578125" bestFit="1" customWidth="1"/>
    <col min="187" max="187" width="11.42578125" bestFit="1" customWidth="1"/>
    <col min="188" max="188" width="9.7109375" bestFit="1" customWidth="1"/>
    <col min="189" max="189" width="11.42578125" bestFit="1" customWidth="1"/>
    <col min="190" max="190" width="9.7109375" bestFit="1" customWidth="1"/>
    <col min="191" max="191" width="11.42578125" bestFit="1" customWidth="1"/>
    <col min="192" max="192" width="8.42578125" bestFit="1" customWidth="1"/>
    <col min="193" max="193" width="11.42578125" bestFit="1" customWidth="1"/>
    <col min="194" max="194" width="9.7109375" bestFit="1" customWidth="1"/>
    <col min="195" max="195" width="11.42578125" bestFit="1" customWidth="1"/>
    <col min="196" max="196" width="8.42578125" bestFit="1" customWidth="1"/>
    <col min="197" max="197" width="11.42578125" bestFit="1" customWidth="1"/>
    <col min="198" max="198" width="9.7109375" bestFit="1" customWidth="1"/>
    <col min="199" max="199" width="11.42578125" bestFit="1" customWidth="1"/>
    <col min="200" max="200" width="8.42578125" bestFit="1" customWidth="1"/>
    <col min="201" max="201" width="11.42578125" bestFit="1" customWidth="1"/>
    <col min="202" max="202" width="8.42578125" bestFit="1" customWidth="1"/>
    <col min="203" max="203" width="11.42578125" bestFit="1" customWidth="1"/>
    <col min="204" max="204" width="8.42578125" bestFit="1" customWidth="1"/>
    <col min="205" max="205" width="11.42578125" bestFit="1" customWidth="1"/>
    <col min="206" max="206" width="11.28515625" bestFit="1" customWidth="1"/>
  </cols>
  <sheetData>
    <row r="1" spans="1:10" x14ac:dyDescent="0.25">
      <c r="A1" s="3" t="s">
        <v>154</v>
      </c>
      <c r="B1" t="s">
        <v>167</v>
      </c>
      <c r="C1" t="s">
        <v>166</v>
      </c>
    </row>
    <row r="2" spans="1:10" x14ac:dyDescent="0.25">
      <c r="A2" s="4" t="s">
        <v>36</v>
      </c>
      <c r="B2">
        <v>172</v>
      </c>
      <c r="C2" s="1">
        <v>155.53783060623559</v>
      </c>
    </row>
    <row r="3" spans="1:10" x14ac:dyDescent="0.25">
      <c r="A3" s="4" t="s">
        <v>27</v>
      </c>
      <c r="B3">
        <v>228</v>
      </c>
      <c r="C3" s="1">
        <v>236.89761966393539</v>
      </c>
    </row>
    <row r="4" spans="1:10" x14ac:dyDescent="0.25">
      <c r="A4" s="4" t="s">
        <v>43</v>
      </c>
      <c r="B4">
        <v>175</v>
      </c>
      <c r="C4" s="1">
        <v>162.37945693178767</v>
      </c>
    </row>
    <row r="5" spans="1:10" x14ac:dyDescent="0.25">
      <c r="A5" s="4" t="s">
        <v>155</v>
      </c>
      <c r="B5">
        <v>575</v>
      </c>
      <c r="C5" s="1">
        <v>554.8149072019587</v>
      </c>
    </row>
    <row r="7" spans="1:10" x14ac:dyDescent="0.25">
      <c r="A7" s="3" t="s">
        <v>154</v>
      </c>
      <c r="B7" t="s">
        <v>170</v>
      </c>
      <c r="C7" t="s">
        <v>171</v>
      </c>
      <c r="F7" s="12" t="s">
        <v>154</v>
      </c>
      <c r="G7" s="12" t="s">
        <v>170</v>
      </c>
      <c r="H7" s="12" t="s">
        <v>206</v>
      </c>
    </row>
    <row r="8" spans="1:10" x14ac:dyDescent="0.25">
      <c r="A8" s="4" t="s">
        <v>25</v>
      </c>
      <c r="B8" s="5">
        <v>-747</v>
      </c>
      <c r="C8">
        <v>29</v>
      </c>
      <c r="F8" s="4" t="s">
        <v>25</v>
      </c>
      <c r="G8">
        <f>GETPIVOTDATA("Sum of Current Inventory Count",$A$7,"SKU",$A8)</f>
        <v>-747</v>
      </c>
      <c r="H8">
        <f>GETPIVOTDATA("Average of Manufacturing lead time",$A$7,"SKU",$A8)</f>
        <v>29</v>
      </c>
    </row>
    <row r="9" spans="1:10" x14ac:dyDescent="0.25">
      <c r="A9" s="4" t="s">
        <v>34</v>
      </c>
      <c r="B9" s="5">
        <v>-641</v>
      </c>
      <c r="C9">
        <v>30</v>
      </c>
      <c r="F9" s="4" t="s">
        <v>34</v>
      </c>
      <c r="G9">
        <f t="shared" ref="G9:G72" si="0">GETPIVOTDATA("Sum of Current Inventory Count",$A$7,"SKU",$A9)</f>
        <v>-641</v>
      </c>
      <c r="H9">
        <f t="shared" ref="H9:H72" si="1">GETPIVOTDATA("Average of Manufacturing lead time",$A$7,"SKU",$A9)</f>
        <v>30</v>
      </c>
      <c r="J9" s="5"/>
    </row>
    <row r="10" spans="1:10" x14ac:dyDescent="0.25">
      <c r="A10" s="4" t="s">
        <v>63</v>
      </c>
      <c r="B10" s="5">
        <v>-985</v>
      </c>
      <c r="C10">
        <v>5</v>
      </c>
      <c r="F10" s="4" t="s">
        <v>63</v>
      </c>
      <c r="G10">
        <f t="shared" si="0"/>
        <v>-985</v>
      </c>
      <c r="H10">
        <f t="shared" si="1"/>
        <v>5</v>
      </c>
      <c r="J10" s="5"/>
    </row>
    <row r="11" spans="1:10" x14ac:dyDescent="0.25">
      <c r="A11" s="4" t="s">
        <v>65</v>
      </c>
      <c r="B11" s="5">
        <v>-865</v>
      </c>
      <c r="C11">
        <v>11</v>
      </c>
      <c r="F11" s="4" t="s">
        <v>65</v>
      </c>
      <c r="G11">
        <f t="shared" si="0"/>
        <v>-865</v>
      </c>
      <c r="H11">
        <f t="shared" si="1"/>
        <v>11</v>
      </c>
      <c r="J11" s="5"/>
    </row>
    <row r="12" spans="1:10" x14ac:dyDescent="0.25">
      <c r="A12" s="4" t="s">
        <v>66</v>
      </c>
      <c r="B12" s="5">
        <v>-295</v>
      </c>
      <c r="C12">
        <v>3</v>
      </c>
      <c r="F12" s="4" t="s">
        <v>66</v>
      </c>
      <c r="G12">
        <f t="shared" si="0"/>
        <v>-295</v>
      </c>
      <c r="H12">
        <f t="shared" si="1"/>
        <v>3</v>
      </c>
      <c r="J12" s="5"/>
    </row>
    <row r="13" spans="1:10" x14ac:dyDescent="0.25">
      <c r="A13" s="4" t="s">
        <v>67</v>
      </c>
      <c r="B13" s="5">
        <v>-244</v>
      </c>
      <c r="C13">
        <v>10</v>
      </c>
      <c r="F13" s="4" t="s">
        <v>67</v>
      </c>
      <c r="G13">
        <f t="shared" si="0"/>
        <v>-244</v>
      </c>
      <c r="H13">
        <f t="shared" si="1"/>
        <v>10</v>
      </c>
      <c r="J13" s="5"/>
    </row>
    <row r="14" spans="1:10" x14ac:dyDescent="0.25">
      <c r="A14" s="4" t="s">
        <v>68</v>
      </c>
      <c r="B14" s="5">
        <v>-536</v>
      </c>
      <c r="C14">
        <v>14</v>
      </c>
      <c r="F14" s="4" t="s">
        <v>68</v>
      </c>
      <c r="G14">
        <f t="shared" si="0"/>
        <v>-536</v>
      </c>
      <c r="H14">
        <f t="shared" si="1"/>
        <v>14</v>
      </c>
      <c r="J14" s="5"/>
    </row>
    <row r="15" spans="1:10" x14ac:dyDescent="0.25">
      <c r="A15" s="4" t="s">
        <v>69</v>
      </c>
      <c r="B15" s="5">
        <v>-375</v>
      </c>
      <c r="C15">
        <v>7</v>
      </c>
      <c r="F15" s="4" t="s">
        <v>69</v>
      </c>
      <c r="G15">
        <f t="shared" si="0"/>
        <v>-375</v>
      </c>
      <c r="H15">
        <f t="shared" si="1"/>
        <v>7</v>
      </c>
      <c r="J15" s="5"/>
    </row>
    <row r="16" spans="1:10" x14ac:dyDescent="0.25">
      <c r="A16" s="4" t="s">
        <v>70</v>
      </c>
      <c r="B16" s="5">
        <v>-206</v>
      </c>
      <c r="C16">
        <v>21</v>
      </c>
      <c r="F16" s="4" t="s">
        <v>70</v>
      </c>
      <c r="G16">
        <f t="shared" si="0"/>
        <v>-206</v>
      </c>
      <c r="H16">
        <f t="shared" si="1"/>
        <v>21</v>
      </c>
      <c r="J16" s="5"/>
    </row>
    <row r="17" spans="1:20" x14ac:dyDescent="0.25">
      <c r="A17" s="4" t="s">
        <v>71</v>
      </c>
      <c r="B17" s="5">
        <v>-44</v>
      </c>
      <c r="C17">
        <v>16</v>
      </c>
      <c r="F17" s="4" t="s">
        <v>71</v>
      </c>
      <c r="G17">
        <f t="shared" si="0"/>
        <v>-44</v>
      </c>
      <c r="H17">
        <f t="shared" si="1"/>
        <v>16</v>
      </c>
      <c r="J17" s="5"/>
      <c r="Q17" s="3" t="s">
        <v>154</v>
      </c>
      <c r="R17" t="s">
        <v>171</v>
      </c>
      <c r="S17" t="s">
        <v>172</v>
      </c>
      <c r="T17" t="s">
        <v>173</v>
      </c>
    </row>
    <row r="18" spans="1:20" x14ac:dyDescent="0.25">
      <c r="A18" s="4" t="s">
        <v>72</v>
      </c>
      <c r="B18" s="5">
        <v>-597</v>
      </c>
      <c r="C18">
        <v>17</v>
      </c>
      <c r="F18" s="4" t="s">
        <v>72</v>
      </c>
      <c r="G18">
        <f t="shared" si="0"/>
        <v>-597</v>
      </c>
      <c r="H18">
        <f t="shared" si="1"/>
        <v>17</v>
      </c>
      <c r="J18" s="5"/>
      <c r="Q18" s="4" t="s">
        <v>57</v>
      </c>
      <c r="R18">
        <v>13.307692307692308</v>
      </c>
      <c r="S18">
        <v>6.5769230769230766</v>
      </c>
      <c r="T18">
        <v>15.384615384615385</v>
      </c>
    </row>
    <row r="19" spans="1:20" x14ac:dyDescent="0.25">
      <c r="A19" s="4" t="s">
        <v>73</v>
      </c>
      <c r="B19" s="5">
        <v>-87</v>
      </c>
      <c r="C19">
        <v>16</v>
      </c>
      <c r="F19" s="4" t="s">
        <v>73</v>
      </c>
      <c r="G19">
        <f t="shared" si="0"/>
        <v>-87</v>
      </c>
      <c r="H19">
        <f t="shared" si="1"/>
        <v>16</v>
      </c>
      <c r="J19" s="5"/>
      <c r="Q19" s="4" t="s">
        <v>24</v>
      </c>
      <c r="R19">
        <v>17.058823529411764</v>
      </c>
      <c r="S19">
        <v>5.617647058823529</v>
      </c>
      <c r="T19">
        <v>15.529411764705882</v>
      </c>
    </row>
    <row r="20" spans="1:20" x14ac:dyDescent="0.25">
      <c r="A20" s="4" t="s">
        <v>37</v>
      </c>
      <c r="B20" s="5">
        <v>26</v>
      </c>
      <c r="C20">
        <v>27</v>
      </c>
      <c r="F20" s="4" t="s">
        <v>37</v>
      </c>
      <c r="G20">
        <f t="shared" si="0"/>
        <v>26</v>
      </c>
      <c r="H20">
        <f t="shared" si="1"/>
        <v>27</v>
      </c>
      <c r="J20" s="5"/>
      <c r="Q20" s="4" t="s">
        <v>33</v>
      </c>
      <c r="R20">
        <v>13.775</v>
      </c>
      <c r="S20">
        <v>5.3250000000000002</v>
      </c>
      <c r="T20">
        <v>16.7</v>
      </c>
    </row>
    <row r="21" spans="1:20" x14ac:dyDescent="0.25">
      <c r="A21" s="4" t="s">
        <v>74</v>
      </c>
      <c r="B21" s="5">
        <v>-298</v>
      </c>
      <c r="C21">
        <v>6</v>
      </c>
      <c r="F21" s="4" t="s">
        <v>74</v>
      </c>
      <c r="G21">
        <f t="shared" si="0"/>
        <v>-298</v>
      </c>
      <c r="H21">
        <f t="shared" si="1"/>
        <v>6</v>
      </c>
      <c r="J21" s="5"/>
      <c r="Q21" s="4" t="s">
        <v>155</v>
      </c>
      <c r="R21">
        <v>14.77</v>
      </c>
      <c r="S21">
        <v>5.75</v>
      </c>
      <c r="T21">
        <v>15.96</v>
      </c>
    </row>
    <row r="22" spans="1:20" x14ac:dyDescent="0.25">
      <c r="A22" s="4" t="s">
        <v>75</v>
      </c>
      <c r="B22" s="5">
        <v>-541</v>
      </c>
      <c r="C22">
        <v>4</v>
      </c>
      <c r="F22" s="4" t="s">
        <v>75</v>
      </c>
      <c r="G22">
        <f t="shared" si="0"/>
        <v>-541</v>
      </c>
      <c r="H22">
        <f t="shared" si="1"/>
        <v>4</v>
      </c>
      <c r="J22" s="5"/>
    </row>
    <row r="23" spans="1:20" x14ac:dyDescent="0.25">
      <c r="A23" s="4" t="s">
        <v>76</v>
      </c>
      <c r="B23" s="5">
        <v>-829</v>
      </c>
      <c r="C23">
        <v>28</v>
      </c>
      <c r="F23" s="4" t="s">
        <v>76</v>
      </c>
      <c r="G23">
        <f t="shared" si="0"/>
        <v>-829</v>
      </c>
      <c r="H23">
        <f t="shared" si="1"/>
        <v>28</v>
      </c>
      <c r="J23" s="5"/>
    </row>
    <row r="24" spans="1:20" x14ac:dyDescent="0.25">
      <c r="A24" s="4" t="s">
        <v>77</v>
      </c>
      <c r="B24" s="5">
        <v>-361</v>
      </c>
      <c r="C24">
        <v>29</v>
      </c>
      <c r="F24" s="4" t="s">
        <v>77</v>
      </c>
      <c r="G24">
        <f t="shared" si="0"/>
        <v>-361</v>
      </c>
      <c r="H24">
        <f t="shared" si="1"/>
        <v>29</v>
      </c>
      <c r="J24" s="5"/>
      <c r="Q24" t="s">
        <v>154</v>
      </c>
      <c r="R24" t="s">
        <v>171</v>
      </c>
      <c r="S24" t="s">
        <v>172</v>
      </c>
      <c r="T24" t="s">
        <v>173</v>
      </c>
    </row>
    <row r="25" spans="1:20" x14ac:dyDescent="0.25">
      <c r="A25" s="4" t="s">
        <v>78</v>
      </c>
      <c r="B25" s="5">
        <v>-177</v>
      </c>
      <c r="C25">
        <v>3</v>
      </c>
      <c r="F25" s="4" t="s">
        <v>78</v>
      </c>
      <c r="G25">
        <f t="shared" si="0"/>
        <v>-177</v>
      </c>
      <c r="H25">
        <f t="shared" si="1"/>
        <v>3</v>
      </c>
      <c r="J25" s="5"/>
      <c r="Q25" t="s">
        <v>57</v>
      </c>
      <c r="R25">
        <v>13.307692307692308</v>
      </c>
      <c r="S25">
        <v>6.5769230769230766</v>
      </c>
      <c r="T25">
        <v>15.384615384615385</v>
      </c>
    </row>
    <row r="26" spans="1:20" x14ac:dyDescent="0.25">
      <c r="A26" s="4" t="s">
        <v>79</v>
      </c>
      <c r="B26" s="5">
        <v>-69</v>
      </c>
      <c r="C26">
        <v>23</v>
      </c>
      <c r="F26" s="4" t="s">
        <v>79</v>
      </c>
      <c r="G26">
        <f t="shared" si="0"/>
        <v>-69</v>
      </c>
      <c r="H26">
        <f t="shared" si="1"/>
        <v>23</v>
      </c>
      <c r="J26" s="5"/>
      <c r="Q26" t="s">
        <v>24</v>
      </c>
      <c r="R26">
        <v>17.058823529411764</v>
      </c>
      <c r="S26">
        <v>5.617647058823529</v>
      </c>
      <c r="T26">
        <v>15.529411764705882</v>
      </c>
    </row>
    <row r="27" spans="1:20" x14ac:dyDescent="0.25">
      <c r="A27" s="4" t="s">
        <v>80</v>
      </c>
      <c r="B27" s="5">
        <v>-344</v>
      </c>
      <c r="C27">
        <v>4</v>
      </c>
      <c r="F27" s="4" t="s">
        <v>80</v>
      </c>
      <c r="G27">
        <f t="shared" si="0"/>
        <v>-344</v>
      </c>
      <c r="H27">
        <f t="shared" si="1"/>
        <v>4</v>
      </c>
      <c r="J27" s="5"/>
      <c r="Q27" t="s">
        <v>33</v>
      </c>
      <c r="R27">
        <v>13.775</v>
      </c>
      <c r="S27">
        <v>5.3250000000000002</v>
      </c>
      <c r="T27">
        <v>16.7</v>
      </c>
    </row>
    <row r="28" spans="1:20" x14ac:dyDescent="0.25">
      <c r="A28" s="4" t="s">
        <v>81</v>
      </c>
      <c r="B28" s="5">
        <v>-310</v>
      </c>
      <c r="C28">
        <v>4</v>
      </c>
      <c r="F28" s="4" t="s">
        <v>81</v>
      </c>
      <c r="G28">
        <f t="shared" si="0"/>
        <v>-310</v>
      </c>
      <c r="H28">
        <f t="shared" si="1"/>
        <v>4</v>
      </c>
      <c r="J28" s="5"/>
    </row>
    <row r="29" spans="1:20" x14ac:dyDescent="0.25">
      <c r="A29" s="4" t="s">
        <v>82</v>
      </c>
      <c r="B29" s="5">
        <v>-382</v>
      </c>
      <c r="C29">
        <v>7</v>
      </c>
      <c r="F29" s="4" t="s">
        <v>82</v>
      </c>
      <c r="G29">
        <f t="shared" si="0"/>
        <v>-382</v>
      </c>
      <c r="H29">
        <f t="shared" si="1"/>
        <v>7</v>
      </c>
      <c r="J29" s="5"/>
    </row>
    <row r="30" spans="1:20" x14ac:dyDescent="0.25">
      <c r="A30" s="4" t="s">
        <v>83</v>
      </c>
      <c r="B30" s="5">
        <v>-250</v>
      </c>
      <c r="C30">
        <v>7</v>
      </c>
      <c r="F30" s="4" t="s">
        <v>83</v>
      </c>
      <c r="G30">
        <f t="shared" si="0"/>
        <v>-250</v>
      </c>
      <c r="H30">
        <f t="shared" si="1"/>
        <v>7</v>
      </c>
      <c r="J30" s="5"/>
    </row>
    <row r="31" spans="1:20" ht="22.5" customHeight="1" x14ac:dyDescent="0.25">
      <c r="A31" s="4" t="s">
        <v>42</v>
      </c>
      <c r="B31" s="5">
        <v>-15</v>
      </c>
      <c r="C31">
        <v>18</v>
      </c>
      <c r="F31" s="4" t="s">
        <v>42</v>
      </c>
      <c r="G31">
        <f t="shared" si="0"/>
        <v>-15</v>
      </c>
      <c r="H31">
        <f t="shared" si="1"/>
        <v>18</v>
      </c>
      <c r="J31" s="5"/>
      <c r="K31" s="13" t="s">
        <v>181</v>
      </c>
      <c r="L31" s="14" t="s">
        <v>167</v>
      </c>
      <c r="M31" s="14" t="s">
        <v>166</v>
      </c>
      <c r="N31" s="14" t="s">
        <v>168</v>
      </c>
      <c r="P31" s="7" t="s">
        <v>22</v>
      </c>
      <c r="Q31" s="10" t="s">
        <v>174</v>
      </c>
      <c r="R31" s="7" t="s">
        <v>175</v>
      </c>
      <c r="S31" s="10" t="s">
        <v>176</v>
      </c>
    </row>
    <row r="32" spans="1:20" x14ac:dyDescent="0.25">
      <c r="A32" s="4" t="s">
        <v>84</v>
      </c>
      <c r="B32" s="5">
        <v>-317</v>
      </c>
      <c r="C32">
        <v>30</v>
      </c>
      <c r="F32" s="4" t="s">
        <v>84</v>
      </c>
      <c r="G32">
        <f t="shared" si="0"/>
        <v>-317</v>
      </c>
      <c r="H32">
        <f t="shared" si="1"/>
        <v>30</v>
      </c>
      <c r="K32" s="4" t="s">
        <v>36</v>
      </c>
      <c r="M32" s="1"/>
      <c r="N32" s="1"/>
      <c r="P32" s="41" t="s">
        <v>36</v>
      </c>
      <c r="Q32" s="42"/>
      <c r="R32" s="42"/>
      <c r="S32" s="43"/>
    </row>
    <row r="33" spans="1:19" x14ac:dyDescent="0.25">
      <c r="A33" s="4" t="s">
        <v>85</v>
      </c>
      <c r="B33" s="5">
        <v>-140</v>
      </c>
      <c r="C33">
        <v>8</v>
      </c>
      <c r="F33" s="4" t="s">
        <v>85</v>
      </c>
      <c r="G33">
        <f t="shared" si="0"/>
        <v>-140</v>
      </c>
      <c r="H33">
        <f t="shared" si="1"/>
        <v>8</v>
      </c>
      <c r="K33" s="4" t="s">
        <v>48</v>
      </c>
      <c r="L33">
        <v>75</v>
      </c>
      <c r="M33" s="1">
        <v>55.555562777697325</v>
      </c>
      <c r="N33" s="1">
        <v>5594.7196999999996</v>
      </c>
      <c r="P33" s="7" t="s">
        <v>48</v>
      </c>
      <c r="Q33" s="6">
        <v>75</v>
      </c>
      <c r="R33" s="9">
        <v>55.555562777697297</v>
      </c>
      <c r="S33" s="9">
        <v>5594.7196999999996</v>
      </c>
    </row>
    <row r="34" spans="1:19" ht="29.25" customHeight="1" x14ac:dyDescent="0.25">
      <c r="A34" s="4" t="s">
        <v>86</v>
      </c>
      <c r="B34" s="5">
        <v>-738</v>
      </c>
      <c r="C34">
        <v>7</v>
      </c>
      <c r="F34" s="4" t="s">
        <v>86</v>
      </c>
      <c r="G34">
        <f t="shared" si="0"/>
        <v>-738</v>
      </c>
      <c r="H34">
        <f t="shared" si="1"/>
        <v>7</v>
      </c>
      <c r="K34" s="4" t="s">
        <v>32</v>
      </c>
      <c r="L34">
        <v>83</v>
      </c>
      <c r="M34" s="1">
        <v>80.963801151231422</v>
      </c>
      <c r="N34" s="1">
        <v>7059.4938000000002</v>
      </c>
      <c r="P34" s="7" t="s">
        <v>32</v>
      </c>
      <c r="Q34" s="6">
        <v>83</v>
      </c>
      <c r="R34" s="9">
        <v>80.963801151231422</v>
      </c>
      <c r="S34" s="9">
        <v>7059.4938000000002</v>
      </c>
    </row>
    <row r="35" spans="1:19" x14ac:dyDescent="0.25">
      <c r="A35" s="4" t="s">
        <v>87</v>
      </c>
      <c r="B35" s="5">
        <v>-553</v>
      </c>
      <c r="C35">
        <v>23</v>
      </c>
      <c r="F35" s="4" t="s">
        <v>87</v>
      </c>
      <c r="G35">
        <f t="shared" si="0"/>
        <v>-553</v>
      </c>
      <c r="H35">
        <f t="shared" si="1"/>
        <v>23</v>
      </c>
      <c r="K35" s="4" t="s">
        <v>41</v>
      </c>
      <c r="L35">
        <v>14</v>
      </c>
      <c r="M35" s="1">
        <v>19.018466677306847</v>
      </c>
      <c r="N35" s="1">
        <v>1272.8582000000001</v>
      </c>
      <c r="P35" s="7" t="s">
        <v>41</v>
      </c>
      <c r="Q35" s="6">
        <v>14</v>
      </c>
      <c r="R35" s="9">
        <v>19.018466677306847</v>
      </c>
      <c r="S35" s="9">
        <v>1272.8582000000001</v>
      </c>
    </row>
    <row r="36" spans="1:19" x14ac:dyDescent="0.25">
      <c r="A36" s="4" t="s">
        <v>88</v>
      </c>
      <c r="B36" s="5">
        <v>-506</v>
      </c>
      <c r="C36">
        <v>10</v>
      </c>
      <c r="F36" s="4" t="s">
        <v>88</v>
      </c>
      <c r="G36">
        <f t="shared" si="0"/>
        <v>-506</v>
      </c>
      <c r="H36">
        <f t="shared" si="1"/>
        <v>10</v>
      </c>
      <c r="K36" s="4" t="s">
        <v>27</v>
      </c>
      <c r="M36" s="1"/>
      <c r="N36" s="1"/>
      <c r="P36" s="41" t="s">
        <v>27</v>
      </c>
      <c r="Q36" s="42"/>
      <c r="R36" s="42"/>
      <c r="S36" s="43"/>
    </row>
    <row r="37" spans="1:19" x14ac:dyDescent="0.25">
      <c r="A37" s="4" t="s">
        <v>89</v>
      </c>
      <c r="B37" s="5">
        <v>-438</v>
      </c>
      <c r="C37">
        <v>2</v>
      </c>
      <c r="F37" s="4" t="s">
        <v>89</v>
      </c>
      <c r="G37">
        <f t="shared" si="0"/>
        <v>-438</v>
      </c>
      <c r="H37">
        <f t="shared" si="1"/>
        <v>2</v>
      </c>
      <c r="K37" s="4" t="s">
        <v>48</v>
      </c>
      <c r="L37">
        <v>98</v>
      </c>
      <c r="M37" s="1">
        <v>94.013344833114928</v>
      </c>
      <c r="N37" s="1">
        <v>8687.6642999999985</v>
      </c>
      <c r="P37" s="7" t="s">
        <v>48</v>
      </c>
      <c r="Q37" s="6">
        <v>98</v>
      </c>
      <c r="R37" s="9">
        <v>94.013344833114928</v>
      </c>
      <c r="S37" s="9">
        <v>8687.6642999999985</v>
      </c>
    </row>
    <row r="38" spans="1:19" x14ac:dyDescent="0.25">
      <c r="A38" s="4" t="s">
        <v>90</v>
      </c>
      <c r="B38" s="5">
        <v>-929</v>
      </c>
      <c r="C38">
        <v>19</v>
      </c>
      <c r="F38" s="4" t="s">
        <v>90</v>
      </c>
      <c r="G38">
        <f t="shared" si="0"/>
        <v>-929</v>
      </c>
      <c r="H38">
        <f t="shared" si="1"/>
        <v>19</v>
      </c>
      <c r="K38" s="4" t="s">
        <v>32</v>
      </c>
      <c r="L38">
        <v>96</v>
      </c>
      <c r="M38" s="1">
        <v>82.791287398467048</v>
      </c>
      <c r="N38" s="1">
        <v>9215.9055000000008</v>
      </c>
      <c r="P38" s="7" t="s">
        <v>32</v>
      </c>
      <c r="Q38" s="6">
        <v>96</v>
      </c>
      <c r="R38" s="9">
        <v>82.791287398467048</v>
      </c>
      <c r="S38" s="9">
        <v>9215.9055000000008</v>
      </c>
    </row>
    <row r="39" spans="1:19" x14ac:dyDescent="0.25">
      <c r="A39" s="4" t="s">
        <v>91</v>
      </c>
      <c r="B39" s="5">
        <v>-958</v>
      </c>
      <c r="C39">
        <v>15</v>
      </c>
      <c r="F39" s="4" t="s">
        <v>91</v>
      </c>
      <c r="G39">
        <f t="shared" si="0"/>
        <v>-958</v>
      </c>
      <c r="H39">
        <f t="shared" si="1"/>
        <v>15</v>
      </c>
      <c r="K39" s="4" t="s">
        <v>41</v>
      </c>
      <c r="L39">
        <v>34</v>
      </c>
      <c r="M39" s="1">
        <v>60.092987432353439</v>
      </c>
      <c r="N39" s="1">
        <v>4821.8745000000008</v>
      </c>
      <c r="P39" s="7" t="s">
        <v>41</v>
      </c>
      <c r="Q39" s="6">
        <v>34</v>
      </c>
      <c r="R39" s="9">
        <v>60.092987432353439</v>
      </c>
      <c r="S39" s="9">
        <v>4821.8745000000008</v>
      </c>
    </row>
    <row r="40" spans="1:19" x14ac:dyDescent="0.25">
      <c r="A40" s="4" t="s">
        <v>92</v>
      </c>
      <c r="B40" s="5">
        <v>-630</v>
      </c>
      <c r="C40">
        <v>12</v>
      </c>
      <c r="F40" s="4" t="s">
        <v>92</v>
      </c>
      <c r="G40">
        <f t="shared" si="0"/>
        <v>-630</v>
      </c>
      <c r="H40">
        <f t="shared" si="1"/>
        <v>12</v>
      </c>
      <c r="K40" s="4" t="s">
        <v>43</v>
      </c>
      <c r="M40" s="1"/>
      <c r="N40" s="1"/>
      <c r="P40" s="41" t="s">
        <v>43</v>
      </c>
      <c r="Q40" s="42"/>
      <c r="R40" s="42"/>
      <c r="S40" s="43"/>
    </row>
    <row r="41" spans="1:19" x14ac:dyDescent="0.25">
      <c r="A41" s="4" t="s">
        <v>93</v>
      </c>
      <c r="B41" s="5">
        <v>-150</v>
      </c>
      <c r="C41">
        <v>6</v>
      </c>
      <c r="F41" s="4" t="s">
        <v>93</v>
      </c>
      <c r="G41">
        <f t="shared" si="0"/>
        <v>-150</v>
      </c>
      <c r="H41">
        <f t="shared" si="1"/>
        <v>6</v>
      </c>
      <c r="K41" s="4" t="s">
        <v>48</v>
      </c>
      <c r="L41">
        <v>86</v>
      </c>
      <c r="M41" s="1">
        <v>81.758156515056797</v>
      </c>
      <c r="N41" s="1">
        <v>6593.3904000000002</v>
      </c>
      <c r="P41" s="7" t="s">
        <v>48</v>
      </c>
      <c r="Q41" s="6">
        <v>86</v>
      </c>
      <c r="R41" s="9">
        <v>81.758156515056797</v>
      </c>
      <c r="S41" s="9">
        <v>6593.3904000000002</v>
      </c>
    </row>
    <row r="42" spans="1:19" x14ac:dyDescent="0.25">
      <c r="A42" s="4" t="s">
        <v>49</v>
      </c>
      <c r="B42" s="5">
        <v>-845</v>
      </c>
      <c r="C42">
        <v>3</v>
      </c>
      <c r="F42" s="4" t="s">
        <v>49</v>
      </c>
      <c r="G42">
        <f t="shared" si="0"/>
        <v>-845</v>
      </c>
      <c r="H42">
        <f t="shared" si="1"/>
        <v>3</v>
      </c>
      <c r="K42" s="4" t="s">
        <v>32</v>
      </c>
      <c r="L42">
        <v>32</v>
      </c>
      <c r="M42" s="1">
        <v>41.668385957559025</v>
      </c>
      <c r="N42" s="1">
        <v>5763.9848000000002</v>
      </c>
      <c r="P42" s="7" t="s">
        <v>32</v>
      </c>
      <c r="Q42" s="6">
        <v>32</v>
      </c>
      <c r="R42" s="9">
        <v>41.668385957559025</v>
      </c>
      <c r="S42" s="9">
        <v>5763.9848000000002</v>
      </c>
    </row>
    <row r="43" spans="1:19" x14ac:dyDescent="0.25">
      <c r="A43" s="4" t="s">
        <v>94</v>
      </c>
      <c r="B43" s="5">
        <v>-836</v>
      </c>
      <c r="C43">
        <v>1</v>
      </c>
      <c r="F43" s="4" t="s">
        <v>94</v>
      </c>
      <c r="G43">
        <f t="shared" si="0"/>
        <v>-836</v>
      </c>
      <c r="H43">
        <f t="shared" si="1"/>
        <v>1</v>
      </c>
      <c r="K43" s="4" t="s">
        <v>41</v>
      </c>
      <c r="L43">
        <v>57</v>
      </c>
      <c r="M43" s="1">
        <v>38.952914459171872</v>
      </c>
      <c r="N43" s="1">
        <v>3914.6869999999999</v>
      </c>
      <c r="P43" s="7" t="s">
        <v>41</v>
      </c>
      <c r="Q43" s="6">
        <v>57</v>
      </c>
      <c r="R43" s="9">
        <v>38.952914459171872</v>
      </c>
      <c r="S43" s="9">
        <v>3914.6869999999999</v>
      </c>
    </row>
    <row r="44" spans="1:19" x14ac:dyDescent="0.25">
      <c r="A44" s="4" t="s">
        <v>95</v>
      </c>
      <c r="B44" s="5">
        <v>-521</v>
      </c>
      <c r="C44">
        <v>7</v>
      </c>
      <c r="F44" s="4" t="s">
        <v>95</v>
      </c>
      <c r="G44">
        <f t="shared" si="0"/>
        <v>-521</v>
      </c>
      <c r="H44">
        <f t="shared" si="1"/>
        <v>7</v>
      </c>
      <c r="P44" s="8" t="s">
        <v>155</v>
      </c>
      <c r="Q44" s="8">
        <v>575</v>
      </c>
      <c r="R44" s="8">
        <v>554.8149072019587</v>
      </c>
      <c r="S44" s="8">
        <v>52924.578199999989</v>
      </c>
    </row>
    <row r="45" spans="1:19" x14ac:dyDescent="0.25">
      <c r="A45" s="4" t="s">
        <v>96</v>
      </c>
      <c r="B45" s="5">
        <v>-57</v>
      </c>
      <c r="C45">
        <v>7</v>
      </c>
      <c r="F45" s="4" t="s">
        <v>96</v>
      </c>
      <c r="G45">
        <f t="shared" si="0"/>
        <v>-57</v>
      </c>
      <c r="H45">
        <f t="shared" si="1"/>
        <v>7</v>
      </c>
      <c r="J45" s="5"/>
    </row>
    <row r="46" spans="1:19" x14ac:dyDescent="0.25">
      <c r="A46" s="4" t="s">
        <v>97</v>
      </c>
      <c r="B46" s="5">
        <v>-592</v>
      </c>
      <c r="C46">
        <v>23</v>
      </c>
      <c r="F46" s="4" t="s">
        <v>97</v>
      </c>
      <c r="G46">
        <f t="shared" si="0"/>
        <v>-592</v>
      </c>
      <c r="H46">
        <f t="shared" si="1"/>
        <v>23</v>
      </c>
      <c r="J46" s="5"/>
    </row>
    <row r="47" spans="1:19" x14ac:dyDescent="0.25">
      <c r="A47" s="4" t="s">
        <v>98</v>
      </c>
      <c r="B47" s="5">
        <v>-885</v>
      </c>
      <c r="C47">
        <v>18</v>
      </c>
      <c r="F47" s="4" t="s">
        <v>98</v>
      </c>
      <c r="G47">
        <f t="shared" si="0"/>
        <v>-885</v>
      </c>
      <c r="H47">
        <f t="shared" si="1"/>
        <v>18</v>
      </c>
      <c r="J47" s="5"/>
    </row>
    <row r="48" spans="1:19" x14ac:dyDescent="0.25">
      <c r="A48" s="4" t="s">
        <v>99</v>
      </c>
      <c r="B48" s="5">
        <v>-23</v>
      </c>
      <c r="C48">
        <v>25</v>
      </c>
      <c r="F48" s="4" t="s">
        <v>99</v>
      </c>
      <c r="G48">
        <f t="shared" si="0"/>
        <v>-23</v>
      </c>
      <c r="H48">
        <f t="shared" si="1"/>
        <v>25</v>
      </c>
      <c r="J48" s="5"/>
    </row>
    <row r="49" spans="1:10" x14ac:dyDescent="0.25">
      <c r="A49" s="4" t="s">
        <v>100</v>
      </c>
      <c r="B49" s="5">
        <v>-784</v>
      </c>
      <c r="C49">
        <v>23</v>
      </c>
      <c r="F49" s="4" t="s">
        <v>100</v>
      </c>
      <c r="G49">
        <f t="shared" si="0"/>
        <v>-784</v>
      </c>
      <c r="H49">
        <f t="shared" si="1"/>
        <v>23</v>
      </c>
      <c r="J49" s="5"/>
    </row>
    <row r="50" spans="1:10" x14ac:dyDescent="0.25">
      <c r="A50" s="4" t="s">
        <v>101</v>
      </c>
      <c r="B50" s="5">
        <v>-817</v>
      </c>
      <c r="C50">
        <v>20</v>
      </c>
      <c r="F50" s="4" t="s">
        <v>101</v>
      </c>
      <c r="G50">
        <f t="shared" si="0"/>
        <v>-817</v>
      </c>
      <c r="H50">
        <f t="shared" si="1"/>
        <v>20</v>
      </c>
      <c r="J50" s="5"/>
    </row>
    <row r="51" spans="1:10" x14ac:dyDescent="0.25">
      <c r="A51" s="4" t="s">
        <v>102</v>
      </c>
      <c r="B51" s="5">
        <v>-1</v>
      </c>
      <c r="C51">
        <v>18</v>
      </c>
      <c r="F51" s="4" t="s">
        <v>102</v>
      </c>
      <c r="G51">
        <f t="shared" si="0"/>
        <v>-1</v>
      </c>
      <c r="H51">
        <f t="shared" si="1"/>
        <v>18</v>
      </c>
      <c r="J51" s="5"/>
    </row>
    <row r="52" spans="1:10" x14ac:dyDescent="0.25">
      <c r="A52" s="4" t="s">
        <v>103</v>
      </c>
      <c r="B52" s="5">
        <v>-80</v>
      </c>
      <c r="C52">
        <v>28</v>
      </c>
      <c r="F52" s="4" t="s">
        <v>103</v>
      </c>
      <c r="G52">
        <f t="shared" si="0"/>
        <v>-80</v>
      </c>
      <c r="H52">
        <f t="shared" si="1"/>
        <v>28</v>
      </c>
      <c r="J52" s="5"/>
    </row>
    <row r="53" spans="1:10" x14ac:dyDescent="0.25">
      <c r="A53" s="4" t="s">
        <v>51</v>
      </c>
      <c r="B53" s="5">
        <v>-60</v>
      </c>
      <c r="C53">
        <v>17</v>
      </c>
      <c r="F53" s="4" t="s">
        <v>51</v>
      </c>
      <c r="G53">
        <f t="shared" si="0"/>
        <v>-60</v>
      </c>
      <c r="H53">
        <f t="shared" si="1"/>
        <v>17</v>
      </c>
      <c r="J53" s="5"/>
    </row>
    <row r="54" spans="1:10" x14ac:dyDescent="0.25">
      <c r="A54" s="4" t="s">
        <v>104</v>
      </c>
      <c r="B54" s="5">
        <v>-542</v>
      </c>
      <c r="C54">
        <v>21</v>
      </c>
      <c r="F54" s="4" t="s">
        <v>104</v>
      </c>
      <c r="G54">
        <f t="shared" si="0"/>
        <v>-542</v>
      </c>
      <c r="H54">
        <f t="shared" si="1"/>
        <v>21</v>
      </c>
      <c r="J54" s="5"/>
    </row>
    <row r="55" spans="1:10" x14ac:dyDescent="0.25">
      <c r="A55" s="4" t="s">
        <v>105</v>
      </c>
      <c r="B55" s="5">
        <v>-93</v>
      </c>
      <c r="C55">
        <v>28</v>
      </c>
      <c r="F55" s="4" t="s">
        <v>105</v>
      </c>
      <c r="G55">
        <f t="shared" si="0"/>
        <v>-93</v>
      </c>
      <c r="H55">
        <f t="shared" si="1"/>
        <v>28</v>
      </c>
      <c r="J55" s="5"/>
    </row>
    <row r="56" spans="1:10" x14ac:dyDescent="0.25">
      <c r="A56" s="4" t="s">
        <v>106</v>
      </c>
      <c r="B56" s="5">
        <v>-819</v>
      </c>
      <c r="C56">
        <v>27</v>
      </c>
      <c r="F56" s="4" t="s">
        <v>106</v>
      </c>
      <c r="G56">
        <f t="shared" si="0"/>
        <v>-819</v>
      </c>
      <c r="H56">
        <f t="shared" si="1"/>
        <v>27</v>
      </c>
      <c r="J56" s="5"/>
    </row>
    <row r="57" spans="1:10" x14ac:dyDescent="0.25">
      <c r="A57" s="4" t="s">
        <v>107</v>
      </c>
      <c r="B57" s="5">
        <v>-149</v>
      </c>
      <c r="C57">
        <v>17</v>
      </c>
      <c r="F57" s="4" t="s">
        <v>107</v>
      </c>
      <c r="G57">
        <f t="shared" si="0"/>
        <v>-149</v>
      </c>
      <c r="H57">
        <f t="shared" si="1"/>
        <v>17</v>
      </c>
      <c r="J57" s="5"/>
    </row>
    <row r="58" spans="1:10" x14ac:dyDescent="0.25">
      <c r="A58" s="4" t="s">
        <v>108</v>
      </c>
      <c r="B58" s="5">
        <v>-611</v>
      </c>
      <c r="C58">
        <v>29</v>
      </c>
      <c r="F58" s="4" t="s">
        <v>108</v>
      </c>
      <c r="G58">
        <f t="shared" si="0"/>
        <v>-611</v>
      </c>
      <c r="H58">
        <f t="shared" si="1"/>
        <v>29</v>
      </c>
      <c r="J58" s="5"/>
    </row>
    <row r="59" spans="1:10" x14ac:dyDescent="0.25">
      <c r="A59" s="4" t="s">
        <v>109</v>
      </c>
      <c r="B59" s="5">
        <v>-685</v>
      </c>
      <c r="C59">
        <v>5</v>
      </c>
      <c r="F59" s="4" t="s">
        <v>109</v>
      </c>
      <c r="G59">
        <f t="shared" si="0"/>
        <v>-685</v>
      </c>
      <c r="H59">
        <f t="shared" si="1"/>
        <v>5</v>
      </c>
      <c r="J59" s="5"/>
    </row>
    <row r="60" spans="1:10" x14ac:dyDescent="0.25">
      <c r="A60" s="4" t="s">
        <v>110</v>
      </c>
      <c r="B60" s="5">
        <v>-3</v>
      </c>
      <c r="C60">
        <v>28</v>
      </c>
      <c r="F60" s="4" t="s">
        <v>110</v>
      </c>
      <c r="G60">
        <f t="shared" si="0"/>
        <v>-3</v>
      </c>
      <c r="H60">
        <f t="shared" si="1"/>
        <v>28</v>
      </c>
      <c r="J60" s="5"/>
    </row>
    <row r="61" spans="1:10" x14ac:dyDescent="0.25">
      <c r="A61" s="4" t="s">
        <v>111</v>
      </c>
      <c r="B61" s="5">
        <v>-162</v>
      </c>
      <c r="C61">
        <v>25</v>
      </c>
      <c r="F61" s="4" t="s">
        <v>111</v>
      </c>
      <c r="G61">
        <f t="shared" si="0"/>
        <v>-162</v>
      </c>
      <c r="H61">
        <f t="shared" si="1"/>
        <v>25</v>
      </c>
      <c r="J61" s="5"/>
    </row>
    <row r="62" spans="1:10" x14ac:dyDescent="0.25">
      <c r="A62" s="4" t="s">
        <v>112</v>
      </c>
      <c r="B62" s="5">
        <v>-815</v>
      </c>
      <c r="C62">
        <v>7</v>
      </c>
      <c r="F62" s="4" t="s">
        <v>112</v>
      </c>
      <c r="G62">
        <f t="shared" si="0"/>
        <v>-815</v>
      </c>
      <c r="H62">
        <f t="shared" si="1"/>
        <v>7</v>
      </c>
      <c r="J62" s="5"/>
    </row>
    <row r="63" spans="1:10" x14ac:dyDescent="0.25">
      <c r="A63" s="4" t="s">
        <v>113</v>
      </c>
      <c r="B63" s="5">
        <v>-454</v>
      </c>
      <c r="C63">
        <v>4</v>
      </c>
      <c r="F63" s="4" t="s">
        <v>113</v>
      </c>
      <c r="G63">
        <f t="shared" si="0"/>
        <v>-454</v>
      </c>
      <c r="H63">
        <f t="shared" si="1"/>
        <v>4</v>
      </c>
      <c r="J63" s="5"/>
    </row>
    <row r="64" spans="1:10" x14ac:dyDescent="0.25">
      <c r="A64" s="4" t="s">
        <v>54</v>
      </c>
      <c r="B64" s="5">
        <v>-17</v>
      </c>
      <c r="C64">
        <v>24</v>
      </c>
      <c r="F64" s="4" t="s">
        <v>54</v>
      </c>
      <c r="G64">
        <f t="shared" si="0"/>
        <v>-17</v>
      </c>
      <c r="H64">
        <f t="shared" si="1"/>
        <v>24</v>
      </c>
      <c r="J64" s="5"/>
    </row>
    <row r="65" spans="1:10" x14ac:dyDescent="0.25">
      <c r="A65" s="4" t="s">
        <v>114</v>
      </c>
      <c r="B65" s="5">
        <v>-364</v>
      </c>
      <c r="C65">
        <v>24</v>
      </c>
      <c r="F65" s="4" t="s">
        <v>114</v>
      </c>
      <c r="G65">
        <f t="shared" si="0"/>
        <v>-364</v>
      </c>
      <c r="H65">
        <f t="shared" si="1"/>
        <v>24</v>
      </c>
      <c r="J65" s="5"/>
    </row>
    <row r="66" spans="1:10" x14ac:dyDescent="0.25">
      <c r="A66" s="4" t="s">
        <v>115</v>
      </c>
      <c r="B66" s="5">
        <v>-94</v>
      </c>
      <c r="C66">
        <v>12</v>
      </c>
      <c r="F66" s="4" t="s">
        <v>115</v>
      </c>
      <c r="G66">
        <f t="shared" si="0"/>
        <v>-94</v>
      </c>
      <c r="H66">
        <f t="shared" si="1"/>
        <v>12</v>
      </c>
      <c r="J66" s="5"/>
    </row>
    <row r="67" spans="1:10" x14ac:dyDescent="0.25">
      <c r="A67" s="4" t="s">
        <v>116</v>
      </c>
      <c r="B67" s="5">
        <v>-181</v>
      </c>
      <c r="C67">
        <v>14</v>
      </c>
      <c r="F67" s="4" t="s">
        <v>116</v>
      </c>
      <c r="G67">
        <f t="shared" si="0"/>
        <v>-181</v>
      </c>
      <c r="H67">
        <f t="shared" si="1"/>
        <v>14</v>
      </c>
      <c r="J67" s="5"/>
    </row>
    <row r="68" spans="1:10" x14ac:dyDescent="0.25">
      <c r="A68" s="4" t="s">
        <v>117</v>
      </c>
      <c r="B68" s="5">
        <v>-191</v>
      </c>
      <c r="C68">
        <v>10</v>
      </c>
      <c r="F68" s="4" t="s">
        <v>117</v>
      </c>
      <c r="G68">
        <f t="shared" si="0"/>
        <v>-191</v>
      </c>
      <c r="H68">
        <f t="shared" si="1"/>
        <v>10</v>
      </c>
      <c r="J68" s="5"/>
    </row>
    <row r="69" spans="1:10" x14ac:dyDescent="0.25">
      <c r="A69" s="4" t="s">
        <v>118</v>
      </c>
      <c r="B69" s="5">
        <v>-123</v>
      </c>
      <c r="C69">
        <v>6</v>
      </c>
      <c r="F69" s="4" t="s">
        <v>118</v>
      </c>
      <c r="G69">
        <f t="shared" si="0"/>
        <v>-123</v>
      </c>
      <c r="H69">
        <f t="shared" si="1"/>
        <v>6</v>
      </c>
      <c r="J69" s="5"/>
    </row>
    <row r="70" spans="1:10" x14ac:dyDescent="0.25">
      <c r="A70" s="4" t="s">
        <v>119</v>
      </c>
      <c r="B70" s="5">
        <v>-385</v>
      </c>
      <c r="C70">
        <v>21</v>
      </c>
      <c r="F70" s="4" t="s">
        <v>119</v>
      </c>
      <c r="G70">
        <f t="shared" si="0"/>
        <v>-385</v>
      </c>
      <c r="H70">
        <f t="shared" si="1"/>
        <v>21</v>
      </c>
      <c r="J70" s="5"/>
    </row>
    <row r="71" spans="1:10" x14ac:dyDescent="0.25">
      <c r="A71" s="4" t="s">
        <v>120</v>
      </c>
      <c r="B71" s="5">
        <v>-652</v>
      </c>
      <c r="C71">
        <v>28</v>
      </c>
      <c r="F71" s="4" t="s">
        <v>120</v>
      </c>
      <c r="G71">
        <f t="shared" si="0"/>
        <v>-652</v>
      </c>
      <c r="H71">
        <f t="shared" si="1"/>
        <v>28</v>
      </c>
      <c r="J71" s="5"/>
    </row>
    <row r="72" spans="1:10" x14ac:dyDescent="0.25">
      <c r="A72" s="4" t="s">
        <v>121</v>
      </c>
      <c r="B72" s="5">
        <v>-497</v>
      </c>
      <c r="C72">
        <v>11</v>
      </c>
      <c r="F72" s="4" t="s">
        <v>121</v>
      </c>
      <c r="G72">
        <f t="shared" si="0"/>
        <v>-497</v>
      </c>
      <c r="H72">
        <f t="shared" si="1"/>
        <v>11</v>
      </c>
      <c r="J72" s="5"/>
    </row>
    <row r="73" spans="1:10" x14ac:dyDescent="0.25">
      <c r="A73" s="4" t="s">
        <v>122</v>
      </c>
      <c r="B73" s="5">
        <v>-134</v>
      </c>
      <c r="C73">
        <v>18</v>
      </c>
      <c r="F73" s="4" t="s">
        <v>122</v>
      </c>
      <c r="G73">
        <f t="shared" ref="G73:G107" si="2">GETPIVOTDATA("Sum of Current Inventory Count",$A$7,"SKU",$A73)</f>
        <v>-134</v>
      </c>
      <c r="H73">
        <f t="shared" ref="H73:H107" si="3">GETPIVOTDATA("Average of Manufacturing lead time",$A$7,"SKU",$A73)</f>
        <v>18</v>
      </c>
      <c r="J73" s="5"/>
    </row>
    <row r="74" spans="1:10" x14ac:dyDescent="0.25">
      <c r="A74" s="4" t="s">
        <v>123</v>
      </c>
      <c r="B74" s="5">
        <v>-449</v>
      </c>
      <c r="C74">
        <v>7</v>
      </c>
      <c r="F74" s="4" t="s">
        <v>123</v>
      </c>
      <c r="G74">
        <f t="shared" si="2"/>
        <v>-449</v>
      </c>
      <c r="H74">
        <f t="shared" si="3"/>
        <v>7</v>
      </c>
      <c r="J74" s="5"/>
    </row>
    <row r="75" spans="1:10" x14ac:dyDescent="0.25">
      <c r="A75" s="4" t="s">
        <v>58</v>
      </c>
      <c r="B75" s="5">
        <v>-367</v>
      </c>
      <c r="C75">
        <v>1</v>
      </c>
      <c r="F75" s="4" t="s">
        <v>58</v>
      </c>
      <c r="G75">
        <f t="shared" si="2"/>
        <v>-367</v>
      </c>
      <c r="H75">
        <f t="shared" si="3"/>
        <v>1</v>
      </c>
      <c r="J75" s="5"/>
    </row>
    <row r="76" spans="1:10" x14ac:dyDescent="0.25">
      <c r="A76" s="4" t="s">
        <v>124</v>
      </c>
      <c r="B76" s="5">
        <v>58</v>
      </c>
      <c r="C76">
        <v>16</v>
      </c>
      <c r="F76" s="4" t="s">
        <v>124</v>
      </c>
      <c r="G76">
        <f t="shared" si="2"/>
        <v>58</v>
      </c>
      <c r="H76">
        <f t="shared" si="3"/>
        <v>16</v>
      </c>
      <c r="J76" s="5"/>
    </row>
    <row r="77" spans="1:10" x14ac:dyDescent="0.25">
      <c r="A77" s="4" t="s">
        <v>125</v>
      </c>
      <c r="B77" s="5">
        <v>-623</v>
      </c>
      <c r="C77">
        <v>10</v>
      </c>
      <c r="F77" s="4" t="s">
        <v>125</v>
      </c>
      <c r="G77">
        <f t="shared" si="2"/>
        <v>-623</v>
      </c>
      <c r="H77">
        <f t="shared" si="3"/>
        <v>10</v>
      </c>
      <c r="J77" s="5"/>
    </row>
    <row r="78" spans="1:10" x14ac:dyDescent="0.25">
      <c r="A78" s="4" t="s">
        <v>126</v>
      </c>
      <c r="B78" s="5">
        <v>-390</v>
      </c>
      <c r="C78">
        <v>11</v>
      </c>
      <c r="F78" s="4" t="s">
        <v>126</v>
      </c>
      <c r="G78">
        <f t="shared" si="2"/>
        <v>-390</v>
      </c>
      <c r="H78">
        <f t="shared" si="3"/>
        <v>11</v>
      </c>
      <c r="J78" s="5"/>
    </row>
    <row r="79" spans="1:10" x14ac:dyDescent="0.25">
      <c r="A79" s="4" t="s">
        <v>127</v>
      </c>
      <c r="B79" s="5">
        <v>-334</v>
      </c>
      <c r="C79">
        <v>4</v>
      </c>
      <c r="F79" s="4" t="s">
        <v>127</v>
      </c>
      <c r="G79">
        <f t="shared" si="2"/>
        <v>-334</v>
      </c>
      <c r="H79">
        <f t="shared" si="3"/>
        <v>4</v>
      </c>
      <c r="J79" s="5"/>
    </row>
    <row r="80" spans="1:10" x14ac:dyDescent="0.25">
      <c r="A80" s="4" t="s">
        <v>128</v>
      </c>
      <c r="B80" s="5">
        <v>-840</v>
      </c>
      <c r="C80">
        <v>9</v>
      </c>
      <c r="F80" s="4" t="s">
        <v>128</v>
      </c>
      <c r="G80">
        <f t="shared" si="2"/>
        <v>-840</v>
      </c>
      <c r="H80">
        <f t="shared" si="3"/>
        <v>9</v>
      </c>
      <c r="J80" s="5"/>
    </row>
    <row r="81" spans="1:10" x14ac:dyDescent="0.25">
      <c r="A81" s="4" t="s">
        <v>129</v>
      </c>
      <c r="B81" s="5">
        <v>-77</v>
      </c>
      <c r="C81">
        <v>11</v>
      </c>
      <c r="F81" s="4" t="s">
        <v>129</v>
      </c>
      <c r="G81">
        <f t="shared" si="2"/>
        <v>-77</v>
      </c>
      <c r="H81">
        <f t="shared" si="3"/>
        <v>11</v>
      </c>
      <c r="J81" s="5"/>
    </row>
    <row r="82" spans="1:10" x14ac:dyDescent="0.25">
      <c r="A82" s="4" t="s">
        <v>130</v>
      </c>
      <c r="B82" s="5">
        <v>-218</v>
      </c>
      <c r="C82">
        <v>24</v>
      </c>
      <c r="F82" s="4" t="s">
        <v>130</v>
      </c>
      <c r="G82">
        <f t="shared" si="2"/>
        <v>-218</v>
      </c>
      <c r="H82">
        <f t="shared" si="3"/>
        <v>24</v>
      </c>
      <c r="J82" s="5"/>
    </row>
    <row r="83" spans="1:10" x14ac:dyDescent="0.25">
      <c r="A83" s="4" t="s">
        <v>131</v>
      </c>
      <c r="B83" s="5">
        <v>-345</v>
      </c>
      <c r="C83">
        <v>5</v>
      </c>
      <c r="F83" s="4" t="s">
        <v>131</v>
      </c>
      <c r="G83">
        <f t="shared" si="2"/>
        <v>-345</v>
      </c>
      <c r="H83">
        <f t="shared" si="3"/>
        <v>5</v>
      </c>
      <c r="J83" s="5"/>
    </row>
    <row r="84" spans="1:10" x14ac:dyDescent="0.25">
      <c r="A84" s="4" t="s">
        <v>132</v>
      </c>
      <c r="B84" s="5">
        <v>-896</v>
      </c>
      <c r="C84">
        <v>21</v>
      </c>
      <c r="F84" s="4" t="s">
        <v>132</v>
      </c>
      <c r="G84">
        <f t="shared" si="2"/>
        <v>-896</v>
      </c>
      <c r="H84">
        <f t="shared" si="3"/>
        <v>21</v>
      </c>
      <c r="J84" s="5"/>
    </row>
    <row r="85" spans="1:10" x14ac:dyDescent="0.25">
      <c r="A85" s="4" t="s">
        <v>133</v>
      </c>
      <c r="B85" s="5">
        <v>-142</v>
      </c>
      <c r="C85">
        <v>12</v>
      </c>
      <c r="F85" s="4" t="s">
        <v>133</v>
      </c>
      <c r="G85">
        <f t="shared" si="2"/>
        <v>-142</v>
      </c>
      <c r="H85">
        <f t="shared" si="3"/>
        <v>12</v>
      </c>
      <c r="J85" s="5"/>
    </row>
    <row r="86" spans="1:10" x14ac:dyDescent="0.25">
      <c r="A86" s="4" t="s">
        <v>59</v>
      </c>
      <c r="B86" s="5">
        <v>-72</v>
      </c>
      <c r="C86">
        <v>8</v>
      </c>
      <c r="F86" s="4" t="s">
        <v>59</v>
      </c>
      <c r="G86">
        <f t="shared" si="2"/>
        <v>-72</v>
      </c>
      <c r="H86">
        <f t="shared" si="3"/>
        <v>8</v>
      </c>
      <c r="J86" s="5"/>
    </row>
    <row r="87" spans="1:10" x14ac:dyDescent="0.25">
      <c r="A87" s="4" t="s">
        <v>134</v>
      </c>
      <c r="B87" s="5">
        <v>-797</v>
      </c>
      <c r="C87">
        <v>5</v>
      </c>
      <c r="F87" s="4" t="s">
        <v>134</v>
      </c>
      <c r="G87">
        <f t="shared" si="2"/>
        <v>-797</v>
      </c>
      <c r="H87">
        <f t="shared" si="3"/>
        <v>5</v>
      </c>
      <c r="J87" s="5"/>
    </row>
    <row r="88" spans="1:10" x14ac:dyDescent="0.25">
      <c r="A88" s="4" t="s">
        <v>135</v>
      </c>
      <c r="B88" s="5">
        <v>-765</v>
      </c>
      <c r="C88">
        <v>1</v>
      </c>
      <c r="F88" s="4" t="s">
        <v>135</v>
      </c>
      <c r="G88">
        <f t="shared" si="2"/>
        <v>-765</v>
      </c>
      <c r="H88">
        <f t="shared" si="3"/>
        <v>1</v>
      </c>
      <c r="J88" s="5"/>
    </row>
    <row r="89" spans="1:10" x14ac:dyDescent="0.25">
      <c r="A89" s="4" t="s">
        <v>136</v>
      </c>
      <c r="B89" s="5">
        <v>-323</v>
      </c>
      <c r="C89">
        <v>26</v>
      </c>
      <c r="F89" s="4" t="s">
        <v>136</v>
      </c>
      <c r="G89">
        <f t="shared" si="2"/>
        <v>-323</v>
      </c>
      <c r="H89">
        <f t="shared" si="3"/>
        <v>26</v>
      </c>
      <c r="J89" s="5"/>
    </row>
    <row r="90" spans="1:10" x14ac:dyDescent="0.25">
      <c r="A90" s="4" t="s">
        <v>137</v>
      </c>
      <c r="B90" s="5">
        <v>-581</v>
      </c>
      <c r="C90">
        <v>5</v>
      </c>
      <c r="F90" s="4" t="s">
        <v>137</v>
      </c>
      <c r="G90">
        <f t="shared" si="2"/>
        <v>-581</v>
      </c>
      <c r="H90">
        <f t="shared" si="3"/>
        <v>5</v>
      </c>
      <c r="J90" s="5"/>
    </row>
    <row r="91" spans="1:10" x14ac:dyDescent="0.25">
      <c r="A91" s="4" t="s">
        <v>138</v>
      </c>
      <c r="B91" s="5">
        <v>-519</v>
      </c>
      <c r="C91">
        <v>22</v>
      </c>
      <c r="F91" s="4" t="s">
        <v>138</v>
      </c>
      <c r="G91">
        <f t="shared" si="2"/>
        <v>-519</v>
      </c>
      <c r="H91">
        <f t="shared" si="3"/>
        <v>22</v>
      </c>
      <c r="J91" s="5"/>
    </row>
    <row r="92" spans="1:10" x14ac:dyDescent="0.25">
      <c r="A92" s="4" t="s">
        <v>139</v>
      </c>
      <c r="B92" s="5">
        <v>58</v>
      </c>
      <c r="C92">
        <v>2</v>
      </c>
      <c r="F92" s="4" t="s">
        <v>139</v>
      </c>
      <c r="G92">
        <f t="shared" si="2"/>
        <v>58</v>
      </c>
      <c r="H92">
        <f t="shared" si="3"/>
        <v>2</v>
      </c>
      <c r="J92" s="5"/>
    </row>
    <row r="93" spans="1:10" x14ac:dyDescent="0.25">
      <c r="A93" s="4" t="s">
        <v>140</v>
      </c>
      <c r="B93" s="5">
        <v>-205</v>
      </c>
      <c r="C93">
        <v>18</v>
      </c>
      <c r="F93" s="4" t="s">
        <v>140</v>
      </c>
      <c r="G93">
        <f t="shared" si="2"/>
        <v>-205</v>
      </c>
      <c r="H93">
        <f t="shared" si="3"/>
        <v>18</v>
      </c>
      <c r="J93" s="5"/>
    </row>
    <row r="94" spans="1:10" x14ac:dyDescent="0.25">
      <c r="A94" s="4" t="s">
        <v>141</v>
      </c>
      <c r="B94" s="5">
        <v>-55</v>
      </c>
      <c r="C94">
        <v>17</v>
      </c>
      <c r="F94" s="4" t="s">
        <v>141</v>
      </c>
      <c r="G94">
        <f t="shared" si="2"/>
        <v>-55</v>
      </c>
      <c r="H94">
        <f t="shared" si="3"/>
        <v>17</v>
      </c>
      <c r="J94" s="5"/>
    </row>
    <row r="95" spans="1:10" x14ac:dyDescent="0.25">
      <c r="A95" s="4" t="s">
        <v>142</v>
      </c>
      <c r="B95" s="5">
        <v>-679</v>
      </c>
      <c r="C95">
        <v>11</v>
      </c>
      <c r="F95" s="4" t="s">
        <v>142</v>
      </c>
      <c r="G95">
        <f t="shared" si="2"/>
        <v>-679</v>
      </c>
      <c r="H95">
        <f t="shared" si="3"/>
        <v>11</v>
      </c>
      <c r="J95" s="5"/>
    </row>
    <row r="96" spans="1:10" x14ac:dyDescent="0.25">
      <c r="A96" s="4" t="s">
        <v>143</v>
      </c>
      <c r="B96" s="5">
        <v>-124</v>
      </c>
      <c r="C96">
        <v>11</v>
      </c>
      <c r="F96" s="4" t="s">
        <v>143</v>
      </c>
      <c r="G96">
        <f t="shared" si="2"/>
        <v>-124</v>
      </c>
      <c r="H96">
        <f t="shared" si="3"/>
        <v>11</v>
      </c>
      <c r="J96" s="5"/>
    </row>
    <row r="97" spans="1:10" x14ac:dyDescent="0.25">
      <c r="A97" s="4" t="s">
        <v>60</v>
      </c>
      <c r="B97" s="5">
        <v>-945</v>
      </c>
      <c r="C97">
        <v>23</v>
      </c>
      <c r="F97" s="4" t="s">
        <v>60</v>
      </c>
      <c r="G97">
        <f t="shared" si="2"/>
        <v>-945</v>
      </c>
      <c r="H97">
        <f t="shared" si="3"/>
        <v>23</v>
      </c>
      <c r="J97" s="5"/>
    </row>
    <row r="98" spans="1:10" x14ac:dyDescent="0.25">
      <c r="A98" s="4" t="s">
        <v>144</v>
      </c>
      <c r="B98" s="5">
        <v>-264</v>
      </c>
      <c r="C98">
        <v>8</v>
      </c>
      <c r="F98" s="4" t="s">
        <v>144</v>
      </c>
      <c r="G98">
        <f t="shared" si="2"/>
        <v>-264</v>
      </c>
      <c r="H98">
        <f t="shared" si="3"/>
        <v>8</v>
      </c>
      <c r="J98" s="5"/>
    </row>
    <row r="99" spans="1:10" x14ac:dyDescent="0.25">
      <c r="A99" s="4" t="s">
        <v>145</v>
      </c>
      <c r="B99" s="5">
        <v>-826</v>
      </c>
      <c r="C99">
        <v>28</v>
      </c>
      <c r="F99" s="4" t="s">
        <v>145</v>
      </c>
      <c r="G99">
        <f t="shared" si="2"/>
        <v>-826</v>
      </c>
      <c r="H99">
        <f t="shared" si="3"/>
        <v>28</v>
      </c>
      <c r="J99" s="5"/>
    </row>
    <row r="100" spans="1:10" x14ac:dyDescent="0.25">
      <c r="A100" s="4" t="s">
        <v>146</v>
      </c>
      <c r="B100" s="5">
        <v>-232</v>
      </c>
      <c r="C100">
        <v>29</v>
      </c>
      <c r="F100" s="4" t="s">
        <v>146</v>
      </c>
      <c r="G100">
        <f t="shared" si="2"/>
        <v>-232</v>
      </c>
      <c r="H100">
        <f t="shared" si="3"/>
        <v>29</v>
      </c>
      <c r="J100" s="5"/>
    </row>
    <row r="101" spans="1:10" x14ac:dyDescent="0.25">
      <c r="A101" s="4" t="s">
        <v>147</v>
      </c>
      <c r="B101" s="5">
        <v>-26</v>
      </c>
      <c r="C101">
        <v>20</v>
      </c>
      <c r="F101" s="4" t="s">
        <v>147</v>
      </c>
      <c r="G101">
        <f t="shared" si="2"/>
        <v>-26</v>
      </c>
      <c r="H101">
        <f t="shared" si="3"/>
        <v>20</v>
      </c>
      <c r="J101" s="5"/>
    </row>
    <row r="102" spans="1:10" x14ac:dyDescent="0.25">
      <c r="A102" s="4" t="s">
        <v>148</v>
      </c>
      <c r="B102" s="5">
        <v>-890</v>
      </c>
      <c r="C102">
        <v>14</v>
      </c>
      <c r="F102" s="4" t="s">
        <v>148</v>
      </c>
      <c r="G102">
        <f t="shared" si="2"/>
        <v>-890</v>
      </c>
      <c r="H102">
        <f t="shared" si="3"/>
        <v>14</v>
      </c>
      <c r="J102" s="5"/>
    </row>
    <row r="103" spans="1:10" x14ac:dyDescent="0.25">
      <c r="A103" s="4" t="s">
        <v>149</v>
      </c>
      <c r="B103" s="5">
        <v>-607</v>
      </c>
      <c r="C103">
        <v>26</v>
      </c>
      <c r="F103" s="4" t="s">
        <v>149</v>
      </c>
      <c r="G103">
        <f t="shared" si="2"/>
        <v>-607</v>
      </c>
      <c r="H103">
        <f t="shared" si="3"/>
        <v>26</v>
      </c>
      <c r="J103" s="5"/>
    </row>
    <row r="104" spans="1:10" x14ac:dyDescent="0.25">
      <c r="A104" s="4" t="s">
        <v>150</v>
      </c>
      <c r="B104" s="5">
        <v>-295</v>
      </c>
      <c r="C104">
        <v>28</v>
      </c>
      <c r="F104" s="4" t="s">
        <v>150</v>
      </c>
      <c r="G104">
        <f t="shared" si="2"/>
        <v>-295</v>
      </c>
      <c r="H104">
        <f t="shared" si="3"/>
        <v>28</v>
      </c>
      <c r="J104" s="5"/>
    </row>
    <row r="105" spans="1:10" x14ac:dyDescent="0.25">
      <c r="A105" s="4" t="s">
        <v>151</v>
      </c>
      <c r="B105" s="5">
        <v>-6</v>
      </c>
      <c r="C105">
        <v>13</v>
      </c>
      <c r="F105" s="4" t="s">
        <v>151</v>
      </c>
      <c r="G105">
        <f t="shared" si="2"/>
        <v>-6</v>
      </c>
      <c r="H105">
        <f t="shared" si="3"/>
        <v>13</v>
      </c>
      <c r="J105" s="5"/>
    </row>
    <row r="106" spans="1:10" x14ac:dyDescent="0.25">
      <c r="A106" s="4" t="s">
        <v>152</v>
      </c>
      <c r="B106" s="5">
        <v>-870</v>
      </c>
      <c r="C106">
        <v>9</v>
      </c>
      <c r="F106" s="4" t="s">
        <v>152</v>
      </c>
      <c r="G106">
        <f t="shared" si="2"/>
        <v>-870</v>
      </c>
      <c r="H106">
        <f t="shared" si="3"/>
        <v>9</v>
      </c>
      <c r="J106" s="5"/>
    </row>
    <row r="107" spans="1:10" x14ac:dyDescent="0.25">
      <c r="A107" s="4" t="s">
        <v>153</v>
      </c>
      <c r="B107" s="5">
        <v>-610</v>
      </c>
      <c r="C107">
        <v>2</v>
      </c>
      <c r="F107" s="4" t="s">
        <v>153</v>
      </c>
      <c r="G107">
        <f t="shared" si="2"/>
        <v>-610</v>
      </c>
      <c r="H107">
        <f t="shared" si="3"/>
        <v>2</v>
      </c>
      <c r="J107" s="5"/>
    </row>
    <row r="108" spans="1:10" x14ac:dyDescent="0.25">
      <c r="A108" s="4" t="s">
        <v>155</v>
      </c>
      <c r="B108" s="5">
        <v>-41259</v>
      </c>
      <c r="C108">
        <v>14.77</v>
      </c>
      <c r="J108" s="5"/>
    </row>
    <row r="109" spans="1:10" x14ac:dyDescent="0.25">
      <c r="J109" s="5"/>
    </row>
  </sheetData>
  <mergeCells count="3">
    <mergeCell ref="P32:S32"/>
    <mergeCell ref="P36:S36"/>
    <mergeCell ref="P40:S40"/>
  </mergeCells>
  <conditionalFormatting sqref="Q33:Q35">
    <cfRule type="colorScale" priority="12">
      <colorScale>
        <cfvo type="min"/>
        <cfvo type="max"/>
        <color rgb="FF00B050"/>
        <color rgb="FF92D050"/>
      </colorScale>
    </cfRule>
  </conditionalFormatting>
  <conditionalFormatting sqref="Q37:Q39">
    <cfRule type="colorScale" priority="9">
      <colorScale>
        <cfvo type="min"/>
        <cfvo type="max"/>
        <color rgb="FF00B050"/>
        <color rgb="FF92D050"/>
      </colorScale>
    </cfRule>
  </conditionalFormatting>
  <conditionalFormatting sqref="Q41:Q43">
    <cfRule type="colorScale" priority="6">
      <colorScale>
        <cfvo type="min"/>
        <cfvo type="max"/>
        <color rgb="FF00B050"/>
        <color rgb="FF92D050"/>
      </colorScale>
    </cfRule>
  </conditionalFormatting>
  <conditionalFormatting sqref="R33:R35">
    <cfRule type="colorScale" priority="11">
      <colorScale>
        <cfvo type="min"/>
        <cfvo type="max"/>
        <color rgb="FF00B050"/>
        <color rgb="FF92D050"/>
      </colorScale>
    </cfRule>
  </conditionalFormatting>
  <conditionalFormatting sqref="R37:R39">
    <cfRule type="colorScale" priority="8">
      <colorScale>
        <cfvo type="min"/>
        <cfvo type="max"/>
        <color rgb="FF00B050"/>
        <color rgb="FF92D050"/>
      </colorScale>
    </cfRule>
  </conditionalFormatting>
  <conditionalFormatting sqref="R41:R43">
    <cfRule type="colorScale" priority="5">
      <colorScale>
        <cfvo type="min"/>
        <cfvo type="max"/>
        <color rgb="FF00B050"/>
        <color rgb="FF92D050"/>
      </colorScale>
    </cfRule>
  </conditionalFormatting>
  <conditionalFormatting sqref="S33:S35">
    <cfRule type="colorScale" priority="10">
      <colorScale>
        <cfvo type="min"/>
        <cfvo type="max"/>
        <color rgb="FF00B050"/>
        <color rgb="FF92D050"/>
      </colorScale>
    </cfRule>
  </conditionalFormatting>
  <conditionalFormatting sqref="S37:S39">
    <cfRule type="colorScale" priority="7">
      <colorScale>
        <cfvo type="min"/>
        <cfvo type="max"/>
        <color rgb="FF00B050"/>
        <color rgb="FF92D050"/>
      </colorScale>
    </cfRule>
  </conditionalFormatting>
  <conditionalFormatting sqref="S41:S43">
    <cfRule type="colorScale" priority="4">
      <colorScale>
        <cfvo type="min"/>
        <cfvo type="max"/>
        <color rgb="FF00B050"/>
        <color rgb="FF92D050"/>
      </colorScale>
    </cfRule>
  </conditionalFormatting>
  <conditionalFormatting pivot="1" sqref="L32:L43">
    <cfRule type="colorScale" priority="3">
      <colorScale>
        <cfvo type="min"/>
        <cfvo type="max"/>
        <color rgb="FFFCFCFF"/>
        <color rgb="FFF8696B"/>
      </colorScale>
    </cfRule>
  </conditionalFormatting>
  <conditionalFormatting pivot="1" sqref="M32:M43">
    <cfRule type="colorScale" priority="2">
      <colorScale>
        <cfvo type="min"/>
        <cfvo type="max"/>
        <color rgb="FFFCFCFF"/>
        <color rgb="FFF8696B"/>
      </colorScale>
    </cfRule>
  </conditionalFormatting>
  <conditionalFormatting pivot="1" sqref="N32:N43">
    <cfRule type="colorScale" priority="1">
      <colorScale>
        <cfvo type="min"/>
        <cfvo type="max"/>
        <color rgb="FFFCFCFF"/>
        <color rgb="FFF8696B"/>
      </colorScale>
    </cfRule>
  </conditionalFormatting>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D8BE-FCE7-48F7-9CBC-3B6DA668E225}">
  <dimension ref="A1:F33"/>
  <sheetViews>
    <sheetView topLeftCell="B1" workbookViewId="0">
      <selection activeCell="F22" sqref="F22"/>
    </sheetView>
  </sheetViews>
  <sheetFormatPr defaultRowHeight="15" x14ac:dyDescent="0.25"/>
  <cols>
    <col min="1" max="1" width="13.140625" bestFit="1" customWidth="1"/>
    <col min="2" max="2" width="22.140625" bestFit="1" customWidth="1"/>
    <col min="3" max="3" width="26" bestFit="1" customWidth="1"/>
    <col min="4" max="4" width="8.28515625" bestFit="1" customWidth="1"/>
    <col min="5" max="5" width="11.28515625" bestFit="1" customWidth="1"/>
    <col min="6" max="6" width="11.5703125" bestFit="1" customWidth="1"/>
    <col min="7" max="7" width="30.140625" bestFit="1" customWidth="1"/>
    <col min="8" max="8" width="18.5703125" bestFit="1" customWidth="1"/>
    <col min="9" max="9" width="26" bestFit="1" customWidth="1"/>
    <col min="10" max="10" width="12" customWidth="1"/>
    <col min="11" max="11" width="10.42578125" customWidth="1"/>
    <col min="12" max="12" width="7.85546875" customWidth="1"/>
    <col min="13" max="13" width="9.7109375" customWidth="1"/>
    <col min="14" max="14" width="10.42578125" customWidth="1"/>
    <col min="15" max="24" width="6.5703125" bestFit="1" customWidth="1"/>
    <col min="25" max="25" width="5.5703125" bestFit="1" customWidth="1"/>
    <col min="26" max="35" width="6.5703125" bestFit="1" customWidth="1"/>
    <col min="36" max="36" width="5.5703125" bestFit="1" customWidth="1"/>
    <col min="37" max="46" width="6.5703125" bestFit="1" customWidth="1"/>
    <col min="47" max="47" width="5.5703125" bestFit="1" customWidth="1"/>
    <col min="48" max="57" width="6.5703125" bestFit="1" customWidth="1"/>
    <col min="58" max="58" width="5.5703125" bestFit="1" customWidth="1"/>
    <col min="59" max="68" width="6.5703125" bestFit="1" customWidth="1"/>
    <col min="69" max="69" width="5.5703125" bestFit="1" customWidth="1"/>
    <col min="70" max="79" width="6.5703125" bestFit="1" customWidth="1"/>
    <col min="80" max="80" width="5.5703125" bestFit="1" customWidth="1"/>
    <col min="81" max="90" width="6.5703125" bestFit="1" customWidth="1"/>
    <col min="91" max="91" width="5.5703125" bestFit="1" customWidth="1"/>
    <col min="92" max="101" width="6.5703125" bestFit="1" customWidth="1"/>
    <col min="102" max="102" width="18.5703125" bestFit="1" customWidth="1"/>
    <col min="103" max="106" width="12" bestFit="1" customWidth="1"/>
    <col min="107" max="107" width="11" bestFit="1" customWidth="1"/>
    <col min="108" max="140" width="12" bestFit="1" customWidth="1"/>
    <col min="141" max="141" width="11" bestFit="1" customWidth="1"/>
    <col min="142" max="154" width="12" bestFit="1" customWidth="1"/>
    <col min="155" max="156" width="11" bestFit="1" customWidth="1"/>
    <col min="157" max="161" width="12" bestFit="1" customWidth="1"/>
    <col min="162" max="162" width="11" bestFit="1" customWidth="1"/>
    <col min="163" max="185" width="12" bestFit="1" customWidth="1"/>
    <col min="186" max="186" width="9" bestFit="1" customWidth="1"/>
    <col min="187" max="196" width="12" bestFit="1" customWidth="1"/>
    <col min="197" max="197" width="11" bestFit="1" customWidth="1"/>
    <col min="198" max="201" width="12" bestFit="1" customWidth="1"/>
    <col min="202" max="202" width="30.85546875" bestFit="1" customWidth="1"/>
    <col min="203" max="203" width="23.5703125" bestFit="1" customWidth="1"/>
  </cols>
  <sheetData>
    <row r="1" spans="1:5" x14ac:dyDescent="0.25">
      <c r="A1" s="3" t="s">
        <v>154</v>
      </c>
      <c r="B1" t="s">
        <v>160</v>
      </c>
      <c r="C1" t="s">
        <v>161</v>
      </c>
    </row>
    <row r="2" spans="1:5" x14ac:dyDescent="0.25">
      <c r="A2" s="4" t="s">
        <v>39</v>
      </c>
      <c r="B2">
        <v>340</v>
      </c>
      <c r="C2" s="1">
        <v>1221.8589000000002</v>
      </c>
    </row>
    <row r="3" spans="1:5" x14ac:dyDescent="0.25">
      <c r="A3" s="4" t="s">
        <v>61</v>
      </c>
      <c r="B3">
        <v>343</v>
      </c>
      <c r="C3" s="1">
        <v>915.69540000000006</v>
      </c>
    </row>
    <row r="4" spans="1:5" x14ac:dyDescent="0.25">
      <c r="A4" s="4" t="s">
        <v>28</v>
      </c>
      <c r="B4">
        <v>224</v>
      </c>
      <c r="C4" s="1">
        <v>654.51200000000006</v>
      </c>
    </row>
    <row r="5" spans="1:5" x14ac:dyDescent="0.25">
      <c r="A5" s="4" t="s">
        <v>52</v>
      </c>
      <c r="B5">
        <v>276</v>
      </c>
      <c r="C5" s="1">
        <v>1128.7753</v>
      </c>
    </row>
    <row r="6" spans="1:5" x14ac:dyDescent="0.25">
      <c r="A6" s="4" t="s">
        <v>44</v>
      </c>
      <c r="B6">
        <v>294</v>
      </c>
      <c r="C6" s="1">
        <v>805.82819999999992</v>
      </c>
    </row>
    <row r="7" spans="1:5" x14ac:dyDescent="0.25">
      <c r="A7" s="4" t="s">
        <v>155</v>
      </c>
      <c r="B7">
        <v>1477</v>
      </c>
      <c r="C7" s="1">
        <v>4726.6698000000006</v>
      </c>
    </row>
    <row r="9" spans="1:5" x14ac:dyDescent="0.25">
      <c r="A9" s="3" t="s">
        <v>162</v>
      </c>
      <c r="B9" s="3" t="s">
        <v>156</v>
      </c>
    </row>
    <row r="10" spans="1:5" x14ac:dyDescent="0.25">
      <c r="A10" s="3" t="s">
        <v>154</v>
      </c>
      <c r="B10" t="s">
        <v>46</v>
      </c>
      <c r="C10" t="s">
        <v>64</v>
      </c>
      <c r="D10" t="s">
        <v>30</v>
      </c>
      <c r="E10" t="s">
        <v>155</v>
      </c>
    </row>
    <row r="11" spans="1:5" x14ac:dyDescent="0.25">
      <c r="A11" s="4" t="s">
        <v>39</v>
      </c>
      <c r="B11">
        <v>1985</v>
      </c>
      <c r="C11">
        <v>6394</v>
      </c>
      <c r="D11">
        <v>5166</v>
      </c>
      <c r="E11">
        <v>13545</v>
      </c>
    </row>
    <row r="12" spans="1:5" x14ac:dyDescent="0.25">
      <c r="A12" s="4" t="s">
        <v>61</v>
      </c>
      <c r="B12">
        <v>4925</v>
      </c>
      <c r="C12">
        <v>3295</v>
      </c>
      <c r="D12">
        <v>5885</v>
      </c>
      <c r="E12">
        <v>14105</v>
      </c>
    </row>
    <row r="13" spans="1:5" x14ac:dyDescent="0.25">
      <c r="A13" s="4" t="s">
        <v>28</v>
      </c>
      <c r="B13">
        <v>1121</v>
      </c>
      <c r="C13">
        <v>1322</v>
      </c>
      <c r="D13">
        <v>5554</v>
      </c>
      <c r="E13">
        <v>7997</v>
      </c>
    </row>
    <row r="14" spans="1:5" x14ac:dyDescent="0.25">
      <c r="A14" s="4" t="s">
        <v>52</v>
      </c>
      <c r="B14">
        <v>7728</v>
      </c>
      <c r="D14">
        <v>4028</v>
      </c>
      <c r="E14">
        <v>11756</v>
      </c>
    </row>
    <row r="15" spans="1:5" x14ac:dyDescent="0.25">
      <c r="A15" s="4" t="s">
        <v>44</v>
      </c>
      <c r="B15">
        <v>3094</v>
      </c>
      <c r="C15">
        <v>1596</v>
      </c>
      <c r="D15">
        <v>4691</v>
      </c>
      <c r="E15">
        <v>9381</v>
      </c>
    </row>
    <row r="16" spans="1:5" x14ac:dyDescent="0.25">
      <c r="A16" s="4" t="s">
        <v>155</v>
      </c>
      <c r="B16">
        <v>18853</v>
      </c>
      <c r="C16">
        <v>12607</v>
      </c>
      <c r="D16">
        <v>25324</v>
      </c>
      <c r="E16">
        <v>56784</v>
      </c>
    </row>
    <row r="18" spans="1:6" x14ac:dyDescent="0.25">
      <c r="A18" s="3" t="s">
        <v>154</v>
      </c>
      <c r="B18" t="s">
        <v>163</v>
      </c>
    </row>
    <row r="19" spans="1:6" x14ac:dyDescent="0.25">
      <c r="A19" s="4" t="s">
        <v>39</v>
      </c>
      <c r="B19">
        <v>1.8036297116882525</v>
      </c>
    </row>
    <row r="20" spans="1:6" x14ac:dyDescent="0.25">
      <c r="A20" s="4" t="s">
        <v>61</v>
      </c>
      <c r="B20">
        <v>2.3627501450718813</v>
      </c>
    </row>
    <row r="21" spans="1:6" x14ac:dyDescent="0.25">
      <c r="A21" s="4" t="s">
        <v>28</v>
      </c>
      <c r="B21">
        <v>2.4657860307644701</v>
      </c>
    </row>
    <row r="22" spans="1:6" x14ac:dyDescent="0.25">
      <c r="A22" s="4" t="s">
        <v>52</v>
      </c>
      <c r="B22">
        <v>2.3373974005913398</v>
      </c>
    </row>
    <row r="23" spans="1:6" x14ac:dyDescent="0.25">
      <c r="A23" s="4" t="s">
        <v>44</v>
      </c>
      <c r="B23">
        <v>2.6654083441492014</v>
      </c>
    </row>
    <row r="24" spans="1:6" x14ac:dyDescent="0.25">
      <c r="A24" s="4" t="s">
        <v>155</v>
      </c>
      <c r="B24">
        <v>2.2771579927396099</v>
      </c>
    </row>
    <row r="26" spans="1:6" x14ac:dyDescent="0.25">
      <c r="A26" s="3" t="s">
        <v>168</v>
      </c>
      <c r="B26" s="3" t="s">
        <v>156</v>
      </c>
    </row>
    <row r="27" spans="1:6" x14ac:dyDescent="0.25">
      <c r="A27" s="3" t="s">
        <v>154</v>
      </c>
      <c r="B27" t="s">
        <v>40</v>
      </c>
      <c r="C27" t="s">
        <v>47</v>
      </c>
      <c r="D27" t="s">
        <v>31</v>
      </c>
      <c r="E27" t="s">
        <v>56</v>
      </c>
      <c r="F27" t="s">
        <v>155</v>
      </c>
    </row>
    <row r="28" spans="1:6" x14ac:dyDescent="0.25">
      <c r="A28" s="4" t="s">
        <v>39</v>
      </c>
      <c r="B28" s="1">
        <v>8291.1406999999999</v>
      </c>
      <c r="C28" s="1">
        <v>2041.3018999999999</v>
      </c>
      <c r="D28" s="1">
        <v>4337.9840999999997</v>
      </c>
      <c r="E28" s="1">
        <v>850.55409999999995</v>
      </c>
      <c r="F28" s="1">
        <v>15520.980799999999</v>
      </c>
    </row>
    <row r="29" spans="1:6" x14ac:dyDescent="0.25">
      <c r="A29" s="4" t="s">
        <v>61</v>
      </c>
      <c r="B29" s="1">
        <v>1942.9297999999999</v>
      </c>
      <c r="C29" s="1">
        <v>7051.2680999999993</v>
      </c>
      <c r="D29" s="1">
        <v>995.14570000000003</v>
      </c>
      <c r="E29" s="1">
        <v>1341.2559000000001</v>
      </c>
      <c r="F29" s="1">
        <v>11330.5995</v>
      </c>
    </row>
    <row r="30" spans="1:6" x14ac:dyDescent="0.25">
      <c r="A30" s="4" t="s">
        <v>28</v>
      </c>
      <c r="B30" s="1">
        <v>351.50420000000003</v>
      </c>
      <c r="C30" s="1">
        <v>1876.2359999999999</v>
      </c>
      <c r="D30" s="1">
        <v>2131.5338999999999</v>
      </c>
      <c r="E30" s="1">
        <v>2672.7273999999998</v>
      </c>
      <c r="F30" s="1">
        <v>7032.0014999999994</v>
      </c>
    </row>
    <row r="31" spans="1:6" x14ac:dyDescent="0.25">
      <c r="A31" s="4" t="s">
        <v>52</v>
      </c>
      <c r="B31" s="1">
        <v>1974.4177</v>
      </c>
      <c r="C31" s="1">
        <v>1974.0720999999999</v>
      </c>
      <c r="D31" s="1">
        <v>4663.0159999999996</v>
      </c>
      <c r="E31" s="1">
        <v>781.08150000000001</v>
      </c>
      <c r="F31" s="1">
        <v>9392.5872999999992</v>
      </c>
    </row>
    <row r="32" spans="1:6" x14ac:dyDescent="0.25">
      <c r="A32" s="4" t="s">
        <v>44</v>
      </c>
      <c r="B32" s="1">
        <v>2044.5349000000001</v>
      </c>
      <c r="C32" s="1">
        <v>2226.0537999999997</v>
      </c>
      <c r="D32" s="1">
        <v>3920.5137</v>
      </c>
      <c r="E32" s="1">
        <v>1457.3067000000001</v>
      </c>
      <c r="F32" s="1">
        <v>9648.4091000000008</v>
      </c>
    </row>
    <row r="33" spans="1:6" x14ac:dyDescent="0.25">
      <c r="A33" s="4" t="s">
        <v>155</v>
      </c>
      <c r="B33" s="1">
        <v>14604.5273</v>
      </c>
      <c r="C33" s="1">
        <v>15168.9319</v>
      </c>
      <c r="D33" s="1">
        <v>16048.193399999998</v>
      </c>
      <c r="E33" s="1">
        <v>7102.9255999999996</v>
      </c>
      <c r="F33" s="1">
        <v>52924.578200000004</v>
      </c>
    </row>
  </sheetData>
  <conditionalFormatting sqref="D3:D7">
    <cfRule type="dataBar" priority="3">
      <dataBar>
        <cfvo type="min"/>
        <cfvo type="max"/>
        <color rgb="FFFF555A"/>
      </dataBar>
      <extLst>
        <ext xmlns:x14="http://schemas.microsoft.com/office/spreadsheetml/2009/9/main" uri="{B025F937-C7B1-47D3-B67F-A62EFF666E3E}">
          <x14:id>{A71F733E-5593-4E00-A22D-1A1A96E914DF}</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A71F733E-5593-4E00-A22D-1A1A96E914DF}">
            <x14:dataBar minLength="0" maxLength="100" gradient="0">
              <x14:cfvo type="autoMin"/>
              <x14:cfvo type="autoMax"/>
              <x14:negativeFillColor rgb="FFFF0000"/>
              <x14:axisColor rgb="FF000000"/>
            </x14:dataBar>
          </x14:cfRule>
          <xm:sqref>D3:D7</xm:sqref>
        </x14:conditionalFormatting>
      </x14:conditionalFormattings>
    </ex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F685A-2526-4977-9E9A-D16A2A27F220}">
  <dimension ref="A2:M135"/>
  <sheetViews>
    <sheetView workbookViewId="0">
      <selection activeCell="F41" sqref="F41"/>
    </sheetView>
  </sheetViews>
  <sheetFormatPr defaultRowHeight="15" x14ac:dyDescent="0.25"/>
  <cols>
    <col min="1" max="1" width="13.140625" bestFit="1" customWidth="1"/>
    <col min="2" max="2" width="29.7109375" bestFit="1" customWidth="1"/>
    <col min="3" max="3" width="19.5703125" customWidth="1"/>
    <col min="4" max="4" width="15.28515625" customWidth="1"/>
    <col min="5" max="5" width="18" customWidth="1"/>
    <col min="6" max="7" width="29.7109375" bestFit="1" customWidth="1"/>
    <col min="8" max="8" width="13" customWidth="1"/>
    <col min="9" max="9" width="19.7109375" customWidth="1"/>
    <col min="10" max="10" width="31.5703125" customWidth="1"/>
    <col min="11" max="11" width="20.140625" customWidth="1"/>
    <col min="12" max="12" width="24.28515625" customWidth="1"/>
    <col min="13" max="13" width="31.140625" customWidth="1"/>
  </cols>
  <sheetData>
    <row r="2" spans="1:3" x14ac:dyDescent="0.25">
      <c r="A2" t="s">
        <v>184</v>
      </c>
      <c r="B2" s="20" t="s">
        <v>185</v>
      </c>
    </row>
    <row r="3" spans="1:3" x14ac:dyDescent="0.25">
      <c r="A3" s="15">
        <f>SUMPRODUCT(--(supply_chain_data3[Shipping costs]&lt;=supply_chain_data3[Lead time])) / COUNTA(supply_chain_data3[Lead time])</f>
        <v>0.87</v>
      </c>
      <c r="B3" s="21">
        <f>SUM(supply_chain_data3[Number of products sold]) / (SUM(supply_chain_data3[Number of products sold])+ ABS(SUM(supply_chain_data3[Current Inventory Count])))</f>
        <v>0.69339530406269267</v>
      </c>
    </row>
    <row r="6" spans="1:3" x14ac:dyDescent="0.25">
      <c r="A6" t="s">
        <v>190</v>
      </c>
      <c r="B6" t="s">
        <v>189</v>
      </c>
    </row>
    <row r="7" spans="1:3" x14ac:dyDescent="0.25">
      <c r="A7" t="s">
        <v>186</v>
      </c>
      <c r="B7" s="16">
        <f>Table3[On-Time Delivery %]</f>
        <v>0.87</v>
      </c>
      <c r="C7" s="16"/>
    </row>
    <row r="8" spans="1:3" x14ac:dyDescent="0.25">
      <c r="A8" t="s">
        <v>187</v>
      </c>
      <c r="B8" s="16">
        <f>1-Table3[On-Time Delivery %]</f>
        <v>0.13</v>
      </c>
      <c r="C8" s="16"/>
    </row>
    <row r="9" spans="1:3" x14ac:dyDescent="0.25">
      <c r="A9" t="s">
        <v>188</v>
      </c>
      <c r="B9">
        <v>1</v>
      </c>
    </row>
    <row r="11" spans="1:3" x14ac:dyDescent="0.25">
      <c r="A11" s="17" t="s">
        <v>190</v>
      </c>
      <c r="B11" t="s">
        <v>189</v>
      </c>
    </row>
    <row r="12" spans="1:3" x14ac:dyDescent="0.25">
      <c r="A12" s="18" t="s">
        <v>186</v>
      </c>
      <c r="B12" s="11">
        <f>Table3[Sell-Through Rate %]</f>
        <v>0.69339530406269267</v>
      </c>
    </row>
    <row r="13" spans="1:3" x14ac:dyDescent="0.25">
      <c r="A13" s="19" t="s">
        <v>187</v>
      </c>
      <c r="B13" s="11">
        <f>1-Table3[Sell-Through Rate %]</f>
        <v>0.30660469593730733</v>
      </c>
    </row>
    <row r="14" spans="1:3" x14ac:dyDescent="0.25">
      <c r="A14" s="18" t="s">
        <v>188</v>
      </c>
      <c r="B14">
        <v>1</v>
      </c>
    </row>
    <row r="16" spans="1:3" x14ac:dyDescent="0.25">
      <c r="A16" t="s">
        <v>193</v>
      </c>
      <c r="B16" t="s">
        <v>191</v>
      </c>
      <c r="C16" t="s">
        <v>192</v>
      </c>
    </row>
    <row r="17" spans="1:6" x14ac:dyDescent="0.25">
      <c r="A17">
        <v>30</v>
      </c>
      <c r="B17">
        <v>30</v>
      </c>
      <c r="C17">
        <v>10</v>
      </c>
    </row>
    <row r="19" spans="1:6" ht="30" x14ac:dyDescent="0.25">
      <c r="A19" s="22" t="s">
        <v>196</v>
      </c>
      <c r="B19" s="22" t="s">
        <v>194</v>
      </c>
      <c r="C19" s="22" t="s">
        <v>195</v>
      </c>
    </row>
    <row r="20" spans="1:6" x14ac:dyDescent="0.25">
      <c r="A20">
        <f>GETPIVOTDATA("Max of Manufacturing lead time",$A$16)</f>
        <v>30</v>
      </c>
      <c r="B20">
        <f>GETPIVOTDATA("Max of Lead times",$A$16)</f>
        <v>30</v>
      </c>
      <c r="C20">
        <f>GETPIVOTDATA("Max of Shipping times",$A$16)</f>
        <v>10</v>
      </c>
    </row>
    <row r="23" spans="1:6" x14ac:dyDescent="0.25">
      <c r="A23" t="s">
        <v>199</v>
      </c>
      <c r="B23" t="s">
        <v>197</v>
      </c>
      <c r="C23" t="s">
        <v>198</v>
      </c>
    </row>
    <row r="24" spans="1:6" x14ac:dyDescent="0.25">
      <c r="A24" s="1">
        <v>997.4135</v>
      </c>
      <c r="B24" s="1">
        <v>99.466099999999997</v>
      </c>
      <c r="C24" s="1">
        <v>9.9298162452772587</v>
      </c>
    </row>
    <row r="26" spans="1:6" x14ac:dyDescent="0.25">
      <c r="A26" s="12" t="s">
        <v>199</v>
      </c>
      <c r="B26" s="12" t="s">
        <v>197</v>
      </c>
      <c r="C26" s="12" t="s">
        <v>198</v>
      </c>
    </row>
    <row r="27" spans="1:6" x14ac:dyDescent="0.25">
      <c r="A27" s="1">
        <f>GETPIVOTDATA("Max of Costs",$A$23)</f>
        <v>997.4135</v>
      </c>
      <c r="B27" s="1">
        <f>GETPIVOTDATA("Max of Manufacturing costs",$A$23)</f>
        <v>99.466099999999997</v>
      </c>
      <c r="C27" s="1">
        <f>GETPIVOTDATA("Max of Shipping costs",$A$23)</f>
        <v>9.9298162452772587</v>
      </c>
    </row>
    <row r="29" spans="1:6" x14ac:dyDescent="0.25">
      <c r="A29" t="s">
        <v>159</v>
      </c>
      <c r="B29" t="s">
        <v>162</v>
      </c>
      <c r="C29" t="s">
        <v>160</v>
      </c>
      <c r="D29" t="s">
        <v>167</v>
      </c>
      <c r="E29" t="s">
        <v>200</v>
      </c>
      <c r="F29" t="s">
        <v>170</v>
      </c>
    </row>
    <row r="30" spans="1:6" x14ac:dyDescent="0.25">
      <c r="A30">
        <v>4922</v>
      </c>
      <c r="B30">
        <v>56784</v>
      </c>
      <c r="C30">
        <v>1477</v>
      </c>
      <c r="D30">
        <v>575</v>
      </c>
      <c r="E30">
        <v>1596</v>
      </c>
      <c r="F30" s="5">
        <v>-41259</v>
      </c>
    </row>
    <row r="34" spans="1:13" x14ac:dyDescent="0.25">
      <c r="D34" s="4"/>
    </row>
    <row r="35" spans="1:13" x14ac:dyDescent="0.25">
      <c r="A35" t="s">
        <v>201</v>
      </c>
      <c r="B35" t="s">
        <v>162</v>
      </c>
      <c r="C35" t="s">
        <v>159</v>
      </c>
      <c r="D35" t="s">
        <v>158</v>
      </c>
      <c r="E35" t="s">
        <v>170</v>
      </c>
      <c r="H35" s="4"/>
      <c r="I35" s="4"/>
      <c r="J35" s="4"/>
      <c r="K35" s="4"/>
      <c r="L35" s="4"/>
      <c r="M35" s="4"/>
    </row>
    <row r="36" spans="1:13" x14ac:dyDescent="0.25">
      <c r="A36">
        <v>4777</v>
      </c>
      <c r="B36">
        <v>56784</v>
      </c>
      <c r="C36">
        <v>4922</v>
      </c>
      <c r="D36">
        <v>46099</v>
      </c>
      <c r="E36" s="5">
        <v>-41259</v>
      </c>
      <c r="H36" s="4"/>
      <c r="I36" s="4"/>
      <c r="J36" s="4"/>
      <c r="K36" s="4"/>
      <c r="L36" s="4"/>
      <c r="M36" s="4"/>
    </row>
    <row r="37" spans="1:13" x14ac:dyDescent="0.25">
      <c r="H37" s="4"/>
      <c r="M37" s="5"/>
    </row>
    <row r="38" spans="1:13" x14ac:dyDescent="0.25">
      <c r="H38" s="4"/>
      <c r="M38" s="5"/>
    </row>
    <row r="39" spans="1:13" x14ac:dyDescent="0.25">
      <c r="A39" s="12" t="s">
        <v>215</v>
      </c>
      <c r="B39" s="12" t="s">
        <v>216</v>
      </c>
      <c r="C39" s="12" t="s">
        <v>217</v>
      </c>
      <c r="D39" s="12" t="s">
        <v>218</v>
      </c>
      <c r="E39" s="12" t="s">
        <v>219</v>
      </c>
    </row>
    <row r="40" spans="1:13" x14ac:dyDescent="0.25">
      <c r="A40">
        <f>GETPIVOTDATA("Sum of Stock levels",$A$35)</f>
        <v>4777</v>
      </c>
      <c r="B40">
        <f>GETPIVOTDATA("Sum of Production volumes",$A$35)</f>
        <v>56784</v>
      </c>
      <c r="C40">
        <f>GETPIVOTDATA("Sum of Order quantities",$A$35)</f>
        <v>4922</v>
      </c>
      <c r="D40">
        <f>GETPIVOTDATA("Sum of Number of products sold",$A$35)</f>
        <v>46099</v>
      </c>
      <c r="E40">
        <f>GETPIVOTDATA("Sum of Current Inventory Count",$A$35)</f>
        <v>-41259</v>
      </c>
    </row>
    <row r="42" spans="1:13" x14ac:dyDescent="0.25">
      <c r="A42" s="3" t="s">
        <v>154</v>
      </c>
      <c r="B42" t="s">
        <v>170</v>
      </c>
    </row>
    <row r="43" spans="1:13" x14ac:dyDescent="0.25">
      <c r="A43" s="4" t="s">
        <v>71</v>
      </c>
      <c r="B43" s="5">
        <v>-44</v>
      </c>
      <c r="H43" s="4"/>
    </row>
    <row r="44" spans="1:13" x14ac:dyDescent="0.25">
      <c r="A44" s="4" t="s">
        <v>73</v>
      </c>
      <c r="B44" s="5">
        <v>-87</v>
      </c>
      <c r="D44" s="35" t="s">
        <v>154</v>
      </c>
      <c r="E44" s="27" t="s">
        <v>202</v>
      </c>
      <c r="F44" s="27" t="s">
        <v>203</v>
      </c>
      <c r="G44" s="27" t="s">
        <v>204</v>
      </c>
      <c r="H44" s="4"/>
    </row>
    <row r="45" spans="1:13" x14ac:dyDescent="0.25">
      <c r="A45" s="4" t="s">
        <v>37</v>
      </c>
      <c r="B45" s="5">
        <v>26</v>
      </c>
      <c r="D45" s="4" t="s">
        <v>71</v>
      </c>
      <c r="E45">
        <f t="shared" ref="E45:E64" si="0">ABS($B43)</f>
        <v>44</v>
      </c>
      <c r="F45">
        <f>ABS($E$45:E45)</f>
        <v>44</v>
      </c>
      <c r="G45" s="11">
        <f t="shared" ref="G45:G64" si="1">F45/SUM($E$45:$E$64)</f>
        <v>4.7464940668824167E-2</v>
      </c>
      <c r="H45" s="4"/>
    </row>
    <row r="46" spans="1:13" x14ac:dyDescent="0.25">
      <c r="A46" s="4" t="s">
        <v>79</v>
      </c>
      <c r="B46" s="5">
        <v>-69</v>
      </c>
      <c r="D46" s="4" t="s">
        <v>73</v>
      </c>
      <c r="E46">
        <f t="shared" si="0"/>
        <v>87</v>
      </c>
      <c r="F46">
        <f>ABS($E$45:E46)</f>
        <v>87</v>
      </c>
      <c r="G46" s="11">
        <f t="shared" si="1"/>
        <v>9.3851132686084138E-2</v>
      </c>
      <c r="H46" s="4"/>
    </row>
    <row r="47" spans="1:13" x14ac:dyDescent="0.25">
      <c r="A47" s="4" t="s">
        <v>42</v>
      </c>
      <c r="B47" s="5">
        <v>-15</v>
      </c>
      <c r="D47" s="4" t="s">
        <v>37</v>
      </c>
      <c r="E47">
        <f t="shared" si="0"/>
        <v>26</v>
      </c>
      <c r="F47">
        <f>ABS($E$45:E47)</f>
        <v>26</v>
      </c>
      <c r="G47" s="11">
        <f t="shared" si="1"/>
        <v>2.8047464940668825E-2</v>
      </c>
      <c r="H47" s="4"/>
    </row>
    <row r="48" spans="1:13" x14ac:dyDescent="0.25">
      <c r="A48" s="4" t="s">
        <v>96</v>
      </c>
      <c r="B48" s="5">
        <v>-57</v>
      </c>
      <c r="D48" s="4" t="s">
        <v>79</v>
      </c>
      <c r="E48">
        <f t="shared" si="0"/>
        <v>69</v>
      </c>
      <c r="F48">
        <f>ABS($E$45:E48)</f>
        <v>69</v>
      </c>
      <c r="G48" s="11">
        <f t="shared" si="1"/>
        <v>7.4433656957928807E-2</v>
      </c>
      <c r="H48" s="4"/>
    </row>
    <row r="49" spans="1:8" x14ac:dyDescent="0.25">
      <c r="A49" s="4" t="s">
        <v>99</v>
      </c>
      <c r="B49" s="5">
        <v>-23</v>
      </c>
      <c r="C49" s="5"/>
      <c r="D49" s="4" t="s">
        <v>42</v>
      </c>
      <c r="E49">
        <f t="shared" si="0"/>
        <v>15</v>
      </c>
      <c r="F49">
        <f>ABS($E$45:E49)</f>
        <v>15</v>
      </c>
      <c r="G49" s="11">
        <f t="shared" si="1"/>
        <v>1.6181229773462782E-2</v>
      </c>
      <c r="H49" s="4"/>
    </row>
    <row r="50" spans="1:8" x14ac:dyDescent="0.25">
      <c r="A50" s="4" t="s">
        <v>102</v>
      </c>
      <c r="B50" s="5">
        <v>-1</v>
      </c>
      <c r="D50" s="4" t="s">
        <v>96</v>
      </c>
      <c r="E50">
        <f t="shared" si="0"/>
        <v>57</v>
      </c>
      <c r="F50">
        <f>ABS($E$45:E50)</f>
        <v>57</v>
      </c>
      <c r="G50" s="11">
        <f t="shared" si="1"/>
        <v>6.1488673139158574E-2</v>
      </c>
      <c r="H50" s="4"/>
    </row>
    <row r="51" spans="1:8" x14ac:dyDescent="0.25">
      <c r="A51" s="4" t="s">
        <v>103</v>
      </c>
      <c r="B51" s="5">
        <v>-80</v>
      </c>
      <c r="D51" s="4" t="s">
        <v>99</v>
      </c>
      <c r="E51">
        <f t="shared" si="0"/>
        <v>23</v>
      </c>
      <c r="F51">
        <f>ABS($E$45:E51)</f>
        <v>23</v>
      </c>
      <c r="G51" s="11">
        <f t="shared" si="1"/>
        <v>2.4811218985976269E-2</v>
      </c>
      <c r="H51" s="4"/>
    </row>
    <row r="52" spans="1:8" x14ac:dyDescent="0.25">
      <c r="A52" s="4" t="s">
        <v>51</v>
      </c>
      <c r="B52" s="5">
        <v>-60</v>
      </c>
      <c r="D52" s="4" t="s">
        <v>102</v>
      </c>
      <c r="E52">
        <f t="shared" si="0"/>
        <v>1</v>
      </c>
      <c r="F52">
        <f>ABS($E$45:E52)</f>
        <v>1</v>
      </c>
      <c r="G52" s="11">
        <f t="shared" si="1"/>
        <v>1.0787486515641855E-3</v>
      </c>
      <c r="H52" s="4"/>
    </row>
    <row r="53" spans="1:8" x14ac:dyDescent="0.25">
      <c r="A53" s="4" t="s">
        <v>105</v>
      </c>
      <c r="B53" s="5">
        <v>-93</v>
      </c>
      <c r="D53" s="4" t="s">
        <v>103</v>
      </c>
      <c r="E53">
        <f t="shared" si="0"/>
        <v>80</v>
      </c>
      <c r="F53">
        <f>ABS($E$45:E53)</f>
        <v>80</v>
      </c>
      <c r="G53" s="11">
        <f t="shared" si="1"/>
        <v>8.629989212513485E-2</v>
      </c>
      <c r="H53" s="4"/>
    </row>
    <row r="54" spans="1:8" x14ac:dyDescent="0.25">
      <c r="A54" s="4" t="s">
        <v>110</v>
      </c>
      <c r="B54" s="5">
        <v>-3</v>
      </c>
      <c r="D54" s="4" t="s">
        <v>51</v>
      </c>
      <c r="E54">
        <f t="shared" si="0"/>
        <v>60</v>
      </c>
      <c r="F54">
        <f>ABS($E$45:E54)</f>
        <v>60</v>
      </c>
      <c r="G54" s="11">
        <f t="shared" si="1"/>
        <v>6.4724919093851127E-2</v>
      </c>
      <c r="H54" s="4"/>
    </row>
    <row r="55" spans="1:8" x14ac:dyDescent="0.25">
      <c r="A55" s="4" t="s">
        <v>54</v>
      </c>
      <c r="B55" s="5">
        <v>-17</v>
      </c>
      <c r="D55" s="4" t="s">
        <v>105</v>
      </c>
      <c r="E55">
        <f t="shared" si="0"/>
        <v>93</v>
      </c>
      <c r="F55">
        <f>ABS($E$45:E55)</f>
        <v>93</v>
      </c>
      <c r="G55" s="11">
        <f t="shared" si="1"/>
        <v>0.10032362459546926</v>
      </c>
      <c r="H55" s="4"/>
    </row>
    <row r="56" spans="1:8" x14ac:dyDescent="0.25">
      <c r="A56" s="4" t="s">
        <v>124</v>
      </c>
      <c r="B56" s="5">
        <v>58</v>
      </c>
      <c r="D56" s="4" t="s">
        <v>110</v>
      </c>
      <c r="E56">
        <f t="shared" si="0"/>
        <v>3</v>
      </c>
      <c r="F56">
        <f>ABS($E$45:E56)</f>
        <v>3</v>
      </c>
      <c r="G56" s="11">
        <f t="shared" si="1"/>
        <v>3.2362459546925568E-3</v>
      </c>
      <c r="H56" s="4"/>
    </row>
    <row r="57" spans="1:8" x14ac:dyDescent="0.25">
      <c r="A57" s="4" t="s">
        <v>129</v>
      </c>
      <c r="B57" s="5">
        <v>-77</v>
      </c>
      <c r="D57" s="4" t="s">
        <v>54</v>
      </c>
      <c r="E57">
        <f t="shared" si="0"/>
        <v>17</v>
      </c>
      <c r="F57">
        <f>ABS($E$45:E57)</f>
        <v>17</v>
      </c>
      <c r="G57" s="11">
        <f t="shared" si="1"/>
        <v>1.8338727076591153E-2</v>
      </c>
      <c r="H57" s="4"/>
    </row>
    <row r="58" spans="1:8" x14ac:dyDescent="0.25">
      <c r="A58" s="4" t="s">
        <v>59</v>
      </c>
      <c r="B58" s="5">
        <v>-72</v>
      </c>
      <c r="D58" s="4" t="s">
        <v>124</v>
      </c>
      <c r="E58">
        <f t="shared" si="0"/>
        <v>58</v>
      </c>
      <c r="F58">
        <f>ABS($E$45:E58)</f>
        <v>58</v>
      </c>
      <c r="G58" s="11">
        <f t="shared" si="1"/>
        <v>6.2567421790722763E-2</v>
      </c>
      <c r="H58" s="4"/>
    </row>
    <row r="59" spans="1:8" x14ac:dyDescent="0.25">
      <c r="A59" s="4" t="s">
        <v>139</v>
      </c>
      <c r="B59" s="5">
        <v>58</v>
      </c>
      <c r="D59" s="4" t="s">
        <v>129</v>
      </c>
      <c r="E59">
        <f t="shared" si="0"/>
        <v>77</v>
      </c>
      <c r="F59">
        <f>ABS($E$45:E59)</f>
        <v>77</v>
      </c>
      <c r="G59" s="11">
        <f t="shared" si="1"/>
        <v>8.306364617044229E-2</v>
      </c>
      <c r="H59" s="4"/>
    </row>
    <row r="60" spans="1:8" x14ac:dyDescent="0.25">
      <c r="A60" s="4" t="s">
        <v>141</v>
      </c>
      <c r="B60" s="5">
        <v>-55</v>
      </c>
      <c r="D60" s="4" t="s">
        <v>59</v>
      </c>
      <c r="E60">
        <f t="shared" si="0"/>
        <v>72</v>
      </c>
      <c r="F60">
        <f>ABS($E$45:E60)</f>
        <v>72</v>
      </c>
      <c r="G60" s="11">
        <f t="shared" si="1"/>
        <v>7.7669902912621352E-2</v>
      </c>
      <c r="H60" s="4"/>
    </row>
    <row r="61" spans="1:8" x14ac:dyDescent="0.25">
      <c r="A61" s="4" t="s">
        <v>147</v>
      </c>
      <c r="B61" s="5">
        <v>-26</v>
      </c>
      <c r="D61" s="4" t="s">
        <v>139</v>
      </c>
      <c r="E61">
        <f t="shared" si="0"/>
        <v>58</v>
      </c>
      <c r="F61">
        <f>ABS($E$45:E61)</f>
        <v>58</v>
      </c>
      <c r="G61" s="11">
        <f t="shared" si="1"/>
        <v>6.2567421790722763E-2</v>
      </c>
      <c r="H61" s="4"/>
    </row>
    <row r="62" spans="1:8" x14ac:dyDescent="0.25">
      <c r="A62" s="4" t="s">
        <v>151</v>
      </c>
      <c r="B62" s="5">
        <v>-6</v>
      </c>
      <c r="D62" s="4" t="s">
        <v>141</v>
      </c>
      <c r="E62">
        <f t="shared" si="0"/>
        <v>55</v>
      </c>
      <c r="F62">
        <f>ABS($E$45:E62)</f>
        <v>55</v>
      </c>
      <c r="G62" s="11">
        <f t="shared" si="1"/>
        <v>5.9331175836030203E-2</v>
      </c>
      <c r="H62" s="4"/>
    </row>
    <row r="63" spans="1:8" x14ac:dyDescent="0.25">
      <c r="A63" s="4" t="s">
        <v>155</v>
      </c>
      <c r="B63" s="5">
        <v>-643</v>
      </c>
      <c r="D63" s="4" t="s">
        <v>147</v>
      </c>
      <c r="E63">
        <f t="shared" si="0"/>
        <v>26</v>
      </c>
      <c r="F63">
        <f>ABS($E$45:E63)</f>
        <v>26</v>
      </c>
      <c r="G63" s="11">
        <f t="shared" si="1"/>
        <v>2.8047464940668825E-2</v>
      </c>
      <c r="H63" s="4"/>
    </row>
    <row r="64" spans="1:8" x14ac:dyDescent="0.25">
      <c r="D64" s="4" t="s">
        <v>151</v>
      </c>
      <c r="E64">
        <f t="shared" si="0"/>
        <v>6</v>
      </c>
      <c r="F64">
        <f>ABS($E$45:E64)</f>
        <v>6</v>
      </c>
      <c r="G64" s="11">
        <f t="shared" si="1"/>
        <v>6.4724919093851136E-3</v>
      </c>
      <c r="H64" s="4"/>
    </row>
    <row r="65" spans="8:8" x14ac:dyDescent="0.25">
      <c r="H65" s="4"/>
    </row>
    <row r="66" spans="8:8" x14ac:dyDescent="0.25">
      <c r="H66" s="4"/>
    </row>
    <row r="67" spans="8:8" x14ac:dyDescent="0.25">
      <c r="H67" s="4"/>
    </row>
    <row r="68" spans="8:8" x14ac:dyDescent="0.25">
      <c r="H68" s="4"/>
    </row>
    <row r="69" spans="8:8" x14ac:dyDescent="0.25">
      <c r="H69" s="4"/>
    </row>
    <row r="70" spans="8:8" x14ac:dyDescent="0.25">
      <c r="H70" s="4"/>
    </row>
    <row r="71" spans="8:8" x14ac:dyDescent="0.25">
      <c r="H71" s="4"/>
    </row>
    <row r="72" spans="8:8" x14ac:dyDescent="0.25">
      <c r="H72" s="4"/>
    </row>
    <row r="73" spans="8:8" x14ac:dyDescent="0.25">
      <c r="H73" s="4"/>
    </row>
    <row r="74" spans="8:8" x14ac:dyDescent="0.25">
      <c r="H74" s="4"/>
    </row>
    <row r="75" spans="8:8" x14ac:dyDescent="0.25">
      <c r="H75" s="4"/>
    </row>
    <row r="76" spans="8:8" x14ac:dyDescent="0.25">
      <c r="H76" s="4"/>
    </row>
    <row r="77" spans="8:8" x14ac:dyDescent="0.25">
      <c r="H77" s="4"/>
    </row>
    <row r="78" spans="8:8" x14ac:dyDescent="0.25">
      <c r="H78" s="4"/>
    </row>
    <row r="79" spans="8:8" x14ac:dyDescent="0.25">
      <c r="H79" s="4"/>
    </row>
    <row r="80" spans="8:8" x14ac:dyDescent="0.25">
      <c r="H80" s="4"/>
    </row>
    <row r="81" spans="8:8" x14ac:dyDescent="0.25">
      <c r="H81" s="4"/>
    </row>
    <row r="82" spans="8:8" x14ac:dyDescent="0.25">
      <c r="H82" s="4"/>
    </row>
    <row r="83" spans="8:8" x14ac:dyDescent="0.25">
      <c r="H83" s="4"/>
    </row>
    <row r="84" spans="8:8" x14ac:dyDescent="0.25">
      <c r="H84" s="4"/>
    </row>
    <row r="85" spans="8:8" x14ac:dyDescent="0.25">
      <c r="H85" s="4"/>
    </row>
    <row r="86" spans="8:8" x14ac:dyDescent="0.25">
      <c r="H86" s="4"/>
    </row>
    <row r="87" spans="8:8" x14ac:dyDescent="0.25">
      <c r="H87" s="4"/>
    </row>
    <row r="88" spans="8:8" x14ac:dyDescent="0.25">
      <c r="H88" s="4"/>
    </row>
    <row r="89" spans="8:8" x14ac:dyDescent="0.25">
      <c r="H89" s="4"/>
    </row>
    <row r="90" spans="8:8" x14ac:dyDescent="0.25">
      <c r="H90" s="4"/>
    </row>
    <row r="91" spans="8:8" x14ac:dyDescent="0.25">
      <c r="H91" s="4"/>
    </row>
    <row r="92" spans="8:8" x14ac:dyDescent="0.25">
      <c r="H92" s="4"/>
    </row>
    <row r="93" spans="8:8" x14ac:dyDescent="0.25">
      <c r="H93" s="4"/>
    </row>
    <row r="94" spans="8:8" x14ac:dyDescent="0.25">
      <c r="H94" s="4"/>
    </row>
    <row r="95" spans="8:8" x14ac:dyDescent="0.25">
      <c r="H95" s="4"/>
    </row>
    <row r="96" spans="8:8" x14ac:dyDescent="0.25">
      <c r="H96" s="4"/>
    </row>
    <row r="97" spans="8:8" x14ac:dyDescent="0.25">
      <c r="H97" s="4"/>
    </row>
    <row r="98" spans="8:8" x14ac:dyDescent="0.25">
      <c r="H98" s="4"/>
    </row>
    <row r="99" spans="8:8" x14ac:dyDescent="0.25">
      <c r="H99" s="4"/>
    </row>
    <row r="100" spans="8:8" x14ac:dyDescent="0.25">
      <c r="H100" s="4"/>
    </row>
    <row r="101" spans="8:8" x14ac:dyDescent="0.25">
      <c r="H101" s="4"/>
    </row>
    <row r="102" spans="8:8" x14ac:dyDescent="0.25">
      <c r="H102" s="4"/>
    </row>
    <row r="103" spans="8:8" x14ac:dyDescent="0.25">
      <c r="H103" s="4"/>
    </row>
    <row r="104" spans="8:8" x14ac:dyDescent="0.25">
      <c r="H104" s="4"/>
    </row>
    <row r="105" spans="8:8" x14ac:dyDescent="0.25">
      <c r="H105" s="4"/>
    </row>
    <row r="106" spans="8:8" x14ac:dyDescent="0.25">
      <c r="H106" s="4"/>
    </row>
    <row r="107" spans="8:8" x14ac:dyDescent="0.25">
      <c r="H107" s="4"/>
    </row>
    <row r="108" spans="8:8" x14ac:dyDescent="0.25">
      <c r="H108" s="4"/>
    </row>
    <row r="109" spans="8:8" x14ac:dyDescent="0.25">
      <c r="H109" s="4"/>
    </row>
    <row r="110" spans="8:8" x14ac:dyDescent="0.25">
      <c r="H110" s="4"/>
    </row>
    <row r="111" spans="8:8" x14ac:dyDescent="0.25">
      <c r="H111" s="4"/>
    </row>
    <row r="112" spans="8:8" x14ac:dyDescent="0.25">
      <c r="H112" s="4"/>
    </row>
    <row r="113" spans="8:8" x14ac:dyDescent="0.25">
      <c r="H113" s="4"/>
    </row>
    <row r="114" spans="8:8" x14ac:dyDescent="0.25">
      <c r="H114" s="4"/>
    </row>
    <row r="115" spans="8:8" x14ac:dyDescent="0.25">
      <c r="H115" s="4"/>
    </row>
    <row r="116" spans="8:8" x14ac:dyDescent="0.25">
      <c r="H116" s="4"/>
    </row>
    <row r="117" spans="8:8" x14ac:dyDescent="0.25">
      <c r="H117" s="4"/>
    </row>
    <row r="118" spans="8:8" x14ac:dyDescent="0.25">
      <c r="H118" s="4"/>
    </row>
    <row r="119" spans="8:8" x14ac:dyDescent="0.25">
      <c r="H119" s="4"/>
    </row>
    <row r="120" spans="8:8" x14ac:dyDescent="0.25">
      <c r="H120" s="4"/>
    </row>
    <row r="121" spans="8:8" x14ac:dyDescent="0.25">
      <c r="H121" s="4"/>
    </row>
    <row r="122" spans="8:8" x14ac:dyDescent="0.25">
      <c r="H122" s="4"/>
    </row>
    <row r="123" spans="8:8" x14ac:dyDescent="0.25">
      <c r="H123" s="4"/>
    </row>
    <row r="124" spans="8:8" x14ac:dyDescent="0.25">
      <c r="H124" s="4"/>
    </row>
    <row r="125" spans="8:8" x14ac:dyDescent="0.25">
      <c r="H125" s="4"/>
    </row>
    <row r="126" spans="8:8" x14ac:dyDescent="0.25">
      <c r="H126" s="4"/>
    </row>
    <row r="127" spans="8:8" x14ac:dyDescent="0.25">
      <c r="H127" s="4"/>
    </row>
    <row r="128" spans="8:8" x14ac:dyDescent="0.25">
      <c r="H128" s="4"/>
    </row>
    <row r="129" spans="8:8" x14ac:dyDescent="0.25">
      <c r="H129" s="4"/>
    </row>
    <row r="130" spans="8:8" x14ac:dyDescent="0.25">
      <c r="H130" s="4"/>
    </row>
    <row r="131" spans="8:8" x14ac:dyDescent="0.25">
      <c r="H131" s="4"/>
    </row>
    <row r="132" spans="8:8" x14ac:dyDescent="0.25">
      <c r="H132" s="4"/>
    </row>
    <row r="133" spans="8:8" x14ac:dyDescent="0.25">
      <c r="H133" s="4"/>
    </row>
    <row r="134" spans="8:8" x14ac:dyDescent="0.25">
      <c r="H134" s="4"/>
    </row>
    <row r="135" spans="8:8" x14ac:dyDescent="0.25">
      <c r="H135" s="4"/>
    </row>
  </sheetData>
  <pageMargins left="0.7" right="0.7" top="0.75" bottom="0.75" header="0.3" footer="0.3"/>
  <drawing r:id="rId6"/>
  <tableParts count="4">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65974-5AD3-408F-AFDA-706A0D7FCA1F}">
  <dimension ref="A1:Z40"/>
  <sheetViews>
    <sheetView tabSelected="1" zoomScale="89" zoomScaleNormal="89" workbookViewId="0">
      <selection sqref="A1:Z40"/>
    </sheetView>
  </sheetViews>
  <sheetFormatPr defaultRowHeight="15" x14ac:dyDescent="0.25"/>
  <sheetData>
    <row r="1" spans="1:26" x14ac:dyDescent="0.25">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x14ac:dyDescent="0.25">
      <c r="A2" s="44"/>
      <c r="B2" s="44"/>
      <c r="C2" s="44"/>
      <c r="D2" s="44"/>
      <c r="E2" s="44"/>
      <c r="F2" s="44"/>
      <c r="G2" s="44"/>
      <c r="H2" s="44"/>
      <c r="I2" s="44"/>
      <c r="J2" s="44"/>
      <c r="K2" s="44"/>
      <c r="L2" s="44"/>
      <c r="M2" s="44"/>
      <c r="N2" s="44"/>
      <c r="O2" s="44"/>
      <c r="P2" s="44"/>
      <c r="Q2" s="44"/>
      <c r="R2" s="44"/>
      <c r="S2" s="44"/>
      <c r="T2" s="44"/>
      <c r="U2" s="44"/>
      <c r="V2" s="44"/>
      <c r="W2" s="44"/>
      <c r="X2" s="44"/>
      <c r="Y2" s="44"/>
      <c r="Z2" s="44"/>
    </row>
    <row r="3" spans="1:26" x14ac:dyDescent="0.25">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x14ac:dyDescent="0.25">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x14ac:dyDescent="0.25">
      <c r="A5" s="44"/>
      <c r="B5" s="44"/>
      <c r="C5" s="44"/>
      <c r="D5" s="44"/>
      <c r="E5" s="44"/>
      <c r="F5" s="44"/>
      <c r="G5" s="44"/>
      <c r="H5" s="44"/>
      <c r="I5" s="44"/>
      <c r="J5" s="44"/>
      <c r="K5" s="44"/>
      <c r="L5" s="44"/>
      <c r="M5" s="44"/>
      <c r="N5" s="44"/>
      <c r="O5" s="44"/>
      <c r="P5" s="44"/>
      <c r="Q5" s="44"/>
      <c r="R5" s="44"/>
      <c r="S5" s="44"/>
      <c r="T5" s="44"/>
      <c r="U5" s="44"/>
      <c r="V5" s="44"/>
      <c r="W5" s="44"/>
      <c r="X5" s="44"/>
      <c r="Y5" s="44"/>
      <c r="Z5" s="44"/>
    </row>
    <row r="6" spans="1:26" x14ac:dyDescent="0.25">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x14ac:dyDescent="0.25">
      <c r="A7" s="44"/>
      <c r="B7" s="44"/>
      <c r="C7" s="44"/>
      <c r="D7" s="44"/>
      <c r="E7" s="44"/>
      <c r="F7" s="44"/>
      <c r="G7" s="44"/>
      <c r="H7" s="44"/>
      <c r="I7" s="44"/>
      <c r="J7" s="44"/>
      <c r="K7" s="44"/>
      <c r="L7" s="44"/>
      <c r="M7" s="44"/>
      <c r="N7" s="44"/>
      <c r="O7" s="44"/>
      <c r="P7" s="44"/>
      <c r="Q7" s="44"/>
      <c r="R7" s="44"/>
      <c r="S7" s="44"/>
      <c r="T7" s="44"/>
      <c r="U7" s="44"/>
      <c r="V7" s="44"/>
      <c r="W7" s="44"/>
      <c r="X7" s="44"/>
      <c r="Y7" s="44"/>
      <c r="Z7" s="44"/>
    </row>
    <row r="8" spans="1:26" x14ac:dyDescent="0.25">
      <c r="A8" s="44"/>
      <c r="B8" s="44"/>
      <c r="C8" s="44"/>
      <c r="D8" s="44"/>
      <c r="E8" s="44"/>
      <c r="F8" s="44"/>
      <c r="G8" s="44"/>
      <c r="H8" s="44"/>
      <c r="I8" s="44"/>
      <c r="J8" s="44"/>
      <c r="K8" s="44"/>
      <c r="L8" s="44"/>
      <c r="M8" s="44"/>
      <c r="N8" s="44"/>
      <c r="O8" s="44"/>
      <c r="P8" s="44"/>
      <c r="Q8" s="44"/>
      <c r="R8" s="44"/>
      <c r="S8" s="44"/>
      <c r="T8" s="44"/>
      <c r="U8" s="44"/>
      <c r="V8" s="44"/>
      <c r="W8" s="44"/>
      <c r="X8" s="44"/>
      <c r="Y8" s="44"/>
      <c r="Z8" s="44"/>
    </row>
    <row r="9" spans="1:26" x14ac:dyDescent="0.25">
      <c r="A9" s="44"/>
      <c r="B9" s="44"/>
      <c r="C9" s="44"/>
      <c r="D9" s="44"/>
      <c r="E9" s="44"/>
      <c r="F9" s="44"/>
      <c r="G9" s="44"/>
      <c r="H9" s="44"/>
      <c r="I9" s="44"/>
      <c r="J9" s="44"/>
      <c r="K9" s="44"/>
      <c r="L9" s="44"/>
      <c r="M9" s="44"/>
      <c r="N9" s="44"/>
      <c r="O9" s="44"/>
      <c r="P9" s="44"/>
      <c r="Q9" s="44"/>
      <c r="R9" s="44"/>
      <c r="S9" s="44"/>
      <c r="T9" s="44"/>
      <c r="U9" s="44"/>
      <c r="V9" s="44"/>
      <c r="W9" s="44"/>
      <c r="X9" s="44"/>
      <c r="Y9" s="44"/>
      <c r="Z9" s="44"/>
    </row>
    <row r="10" spans="1:26" x14ac:dyDescent="0.25">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spans="1:26" x14ac:dyDescent="0.2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spans="1:26" x14ac:dyDescent="0.2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x14ac:dyDescent="0.2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spans="1:26" x14ac:dyDescent="0.25">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x14ac:dyDescent="0.2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spans="1:26" x14ac:dyDescent="0.25">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1:26" x14ac:dyDescent="0.25">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spans="1:26" x14ac:dyDescent="0.25">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spans="1:26" x14ac:dyDescent="0.25">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spans="1:26" x14ac:dyDescent="0.25">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spans="1:26" x14ac:dyDescent="0.25">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spans="1:26" x14ac:dyDescent="0.25">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spans="1:26" x14ac:dyDescent="0.25">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spans="1:26" x14ac:dyDescent="0.25">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x14ac:dyDescent="0.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spans="1:26" x14ac:dyDescent="0.25">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spans="1:26" x14ac:dyDescent="0.25">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spans="1:26" x14ac:dyDescent="0.25">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spans="1:26" x14ac:dyDescent="0.25">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spans="1:26" x14ac:dyDescent="0.25">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x14ac:dyDescent="0.25">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spans="1:26" x14ac:dyDescent="0.25">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spans="1:26" x14ac:dyDescent="0.25">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spans="1:26" x14ac:dyDescent="0.25">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spans="1:26" x14ac:dyDescent="0.2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spans="1:26" x14ac:dyDescent="0.25">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spans="1:26" x14ac:dyDescent="0.25">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spans="1:26" x14ac:dyDescent="0.25">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spans="1:26" x14ac:dyDescent="0.25">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x14ac:dyDescent="0.25">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sheetData>
  <mergeCells count="1">
    <mergeCell ref="A1:Z4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5DC4D-3FF4-4324-8030-1DC35DE9C46A}">
  <dimension ref="A1:Z40"/>
  <sheetViews>
    <sheetView topLeftCell="A4" zoomScale="87" zoomScaleNormal="87" workbookViewId="0">
      <selection sqref="A1:Z40"/>
    </sheetView>
  </sheetViews>
  <sheetFormatPr defaultRowHeight="15" x14ac:dyDescent="0.25"/>
  <sheetData>
    <row r="1" spans="1:26" x14ac:dyDescent="0.25">
      <c r="A1" s="45"/>
      <c r="B1" s="45"/>
      <c r="C1" s="45"/>
      <c r="D1" s="45"/>
      <c r="E1" s="45"/>
      <c r="F1" s="45"/>
      <c r="G1" s="45"/>
      <c r="H1" s="45"/>
      <c r="I1" s="45"/>
      <c r="J1" s="45"/>
      <c r="K1" s="45"/>
      <c r="L1" s="45"/>
      <c r="M1" s="45"/>
      <c r="N1" s="45"/>
      <c r="O1" s="45"/>
      <c r="P1" s="45"/>
      <c r="Q1" s="45"/>
      <c r="R1" s="45"/>
      <c r="S1" s="45"/>
      <c r="T1" s="45"/>
      <c r="U1" s="45"/>
      <c r="V1" s="45"/>
      <c r="W1" s="45"/>
      <c r="X1" s="45"/>
      <c r="Y1" s="45"/>
      <c r="Z1" s="45"/>
    </row>
    <row r="2" spans="1:26" x14ac:dyDescent="0.25">
      <c r="A2" s="45"/>
      <c r="B2" s="45"/>
      <c r="C2" s="45"/>
      <c r="D2" s="45"/>
      <c r="E2" s="45"/>
      <c r="F2" s="45"/>
      <c r="G2" s="45"/>
      <c r="H2" s="45"/>
      <c r="I2" s="45"/>
      <c r="J2" s="45"/>
      <c r="K2" s="45"/>
      <c r="L2" s="45"/>
      <c r="M2" s="45"/>
      <c r="N2" s="45"/>
      <c r="O2" s="45"/>
      <c r="P2" s="45"/>
      <c r="Q2" s="45"/>
      <c r="R2" s="45"/>
      <c r="S2" s="45"/>
      <c r="T2" s="45"/>
      <c r="U2" s="45"/>
      <c r="V2" s="45"/>
      <c r="W2" s="45"/>
      <c r="X2" s="45"/>
      <c r="Y2" s="45"/>
      <c r="Z2" s="45"/>
    </row>
    <row r="3" spans="1:26" x14ac:dyDescent="0.25">
      <c r="A3" s="45"/>
      <c r="B3" s="45"/>
      <c r="C3" s="45"/>
      <c r="D3" s="45"/>
      <c r="E3" s="45"/>
      <c r="F3" s="45"/>
      <c r="G3" s="45"/>
      <c r="H3" s="45"/>
      <c r="I3" s="45"/>
      <c r="J3" s="45"/>
      <c r="K3" s="45"/>
      <c r="L3" s="45"/>
      <c r="M3" s="45"/>
      <c r="N3" s="45"/>
      <c r="O3" s="45"/>
      <c r="P3" s="45"/>
      <c r="Q3" s="45"/>
      <c r="R3" s="45"/>
      <c r="S3" s="45"/>
      <c r="T3" s="45"/>
      <c r="U3" s="45"/>
      <c r="V3" s="45"/>
      <c r="W3" s="45"/>
      <c r="X3" s="45"/>
      <c r="Y3" s="45"/>
      <c r="Z3" s="45"/>
    </row>
    <row r="4" spans="1:26" x14ac:dyDescent="0.25">
      <c r="A4" s="45"/>
      <c r="B4" s="45"/>
      <c r="C4" s="45"/>
      <c r="D4" s="45"/>
      <c r="E4" s="45"/>
      <c r="F4" s="45"/>
      <c r="G4" s="45"/>
      <c r="H4" s="45"/>
      <c r="I4" s="45"/>
      <c r="J4" s="45"/>
      <c r="K4" s="45"/>
      <c r="L4" s="45"/>
      <c r="M4" s="45"/>
      <c r="N4" s="45"/>
      <c r="O4" s="45"/>
      <c r="P4" s="45"/>
      <c r="Q4" s="45"/>
      <c r="R4" s="45"/>
      <c r="S4" s="45"/>
      <c r="T4" s="45"/>
      <c r="U4" s="45"/>
      <c r="V4" s="45"/>
      <c r="W4" s="45"/>
      <c r="X4" s="45"/>
      <c r="Y4" s="45"/>
      <c r="Z4" s="45"/>
    </row>
    <row r="5" spans="1:26" x14ac:dyDescent="0.25">
      <c r="A5" s="45"/>
      <c r="B5" s="45"/>
      <c r="C5" s="45"/>
      <c r="D5" s="45"/>
      <c r="E5" s="45"/>
      <c r="F5" s="45"/>
      <c r="G5" s="45"/>
      <c r="H5" s="45"/>
      <c r="I5" s="45"/>
      <c r="J5" s="45"/>
      <c r="K5" s="45"/>
      <c r="L5" s="45"/>
      <c r="M5" s="45"/>
      <c r="N5" s="45"/>
      <c r="O5" s="45"/>
      <c r="P5" s="45"/>
      <c r="Q5" s="45"/>
      <c r="R5" s="45"/>
      <c r="S5" s="45"/>
      <c r="T5" s="45"/>
      <c r="U5" s="45"/>
      <c r="V5" s="45"/>
      <c r="W5" s="45"/>
      <c r="X5" s="45"/>
      <c r="Y5" s="45"/>
      <c r="Z5" s="45"/>
    </row>
    <row r="6" spans="1:26" x14ac:dyDescent="0.25">
      <c r="A6" s="45"/>
      <c r="B6" s="45"/>
      <c r="C6" s="45"/>
      <c r="D6" s="45"/>
      <c r="E6" s="45"/>
      <c r="F6" s="45"/>
      <c r="G6" s="45"/>
      <c r="H6" s="45"/>
      <c r="I6" s="45"/>
      <c r="J6" s="45"/>
      <c r="K6" s="45"/>
      <c r="L6" s="45"/>
      <c r="M6" s="45"/>
      <c r="N6" s="45"/>
      <c r="O6" s="45"/>
      <c r="P6" s="45"/>
      <c r="Q6" s="45"/>
      <c r="R6" s="45"/>
      <c r="S6" s="45"/>
      <c r="T6" s="45"/>
      <c r="U6" s="45"/>
      <c r="V6" s="45"/>
      <c r="W6" s="45"/>
      <c r="X6" s="45"/>
      <c r="Y6" s="45"/>
      <c r="Z6" s="45"/>
    </row>
    <row r="7" spans="1:26" x14ac:dyDescent="0.25">
      <c r="A7" s="45"/>
      <c r="B7" s="45"/>
      <c r="C7" s="45"/>
      <c r="D7" s="45"/>
      <c r="E7" s="45"/>
      <c r="F7" s="45"/>
      <c r="G7" s="45"/>
      <c r="H7" s="45"/>
      <c r="I7" s="45"/>
      <c r="J7" s="45"/>
      <c r="K7" s="45"/>
      <c r="L7" s="45"/>
      <c r="M7" s="45"/>
      <c r="N7" s="45"/>
      <c r="O7" s="45"/>
      <c r="P7" s="45"/>
      <c r="Q7" s="45"/>
      <c r="R7" s="45"/>
      <c r="S7" s="45"/>
      <c r="T7" s="45"/>
      <c r="U7" s="45"/>
      <c r="V7" s="45"/>
      <c r="W7" s="45"/>
      <c r="X7" s="45"/>
      <c r="Y7" s="45"/>
      <c r="Z7" s="45"/>
    </row>
    <row r="8" spans="1:26" x14ac:dyDescent="0.25">
      <c r="A8" s="45"/>
      <c r="B8" s="45"/>
      <c r="C8" s="45"/>
      <c r="D8" s="45"/>
      <c r="E8" s="45"/>
      <c r="F8" s="45"/>
      <c r="G8" s="45"/>
      <c r="H8" s="45"/>
      <c r="I8" s="45"/>
      <c r="J8" s="45"/>
      <c r="K8" s="45"/>
      <c r="L8" s="45"/>
      <c r="M8" s="45"/>
      <c r="N8" s="45"/>
      <c r="O8" s="45"/>
      <c r="P8" s="45"/>
      <c r="Q8" s="45"/>
      <c r="R8" s="45"/>
      <c r="S8" s="45"/>
      <c r="T8" s="45"/>
      <c r="U8" s="45"/>
      <c r="V8" s="45"/>
      <c r="W8" s="45"/>
      <c r="X8" s="45"/>
      <c r="Y8" s="45"/>
      <c r="Z8" s="45"/>
    </row>
    <row r="9" spans="1:26" x14ac:dyDescent="0.25">
      <c r="A9" s="45"/>
      <c r="B9" s="45"/>
      <c r="C9" s="45"/>
      <c r="D9" s="45"/>
      <c r="E9" s="45"/>
      <c r="F9" s="45"/>
      <c r="G9" s="45"/>
      <c r="H9" s="45"/>
      <c r="I9" s="45"/>
      <c r="J9" s="45"/>
      <c r="K9" s="45"/>
      <c r="L9" s="45"/>
      <c r="M9" s="45"/>
      <c r="N9" s="45"/>
      <c r="O9" s="45"/>
      <c r="P9" s="45"/>
      <c r="Q9" s="45"/>
      <c r="R9" s="45"/>
      <c r="S9" s="45"/>
      <c r="T9" s="45"/>
      <c r="U9" s="45"/>
      <c r="V9" s="45"/>
      <c r="W9" s="45"/>
      <c r="X9" s="45"/>
      <c r="Y9" s="45"/>
      <c r="Z9" s="45"/>
    </row>
    <row r="10" spans="1:26" x14ac:dyDescent="0.25">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spans="1:26" x14ac:dyDescent="0.25">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spans="1:26" x14ac:dyDescent="0.25">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spans="1:26" x14ac:dyDescent="0.25">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spans="1:26" x14ac:dyDescent="0.25">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spans="1:26" x14ac:dyDescent="0.2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spans="1:26" x14ac:dyDescent="0.25">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spans="1:26" x14ac:dyDescent="0.25">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spans="1:26" x14ac:dyDescent="0.25">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spans="1:26" x14ac:dyDescent="0.25">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spans="1:26" x14ac:dyDescent="0.25">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spans="1:26" x14ac:dyDescent="0.25">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spans="1:26" x14ac:dyDescent="0.25">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spans="1:26" x14ac:dyDescent="0.25">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spans="1:26" x14ac:dyDescent="0.25">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spans="1:26" x14ac:dyDescent="0.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spans="1:26" x14ac:dyDescent="0.25">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spans="1:26" x14ac:dyDescent="0.25">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spans="1:26" x14ac:dyDescent="0.25">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spans="1:26" x14ac:dyDescent="0.25">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spans="1:26" x14ac:dyDescent="0.25">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spans="1:26" x14ac:dyDescent="0.25">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spans="1:26" x14ac:dyDescent="0.25">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spans="1:26" x14ac:dyDescent="0.25">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spans="1:26" x14ac:dyDescent="0.25">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spans="1:26" x14ac:dyDescent="0.2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spans="1:26" x14ac:dyDescent="0.25">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spans="1:26" x14ac:dyDescent="0.2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spans="1:26" x14ac:dyDescent="0.25">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spans="1:26" x14ac:dyDescent="0.25">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spans="1:26" x14ac:dyDescent="0.25">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sheetData>
  <mergeCells count="1">
    <mergeCell ref="A1:Z40"/>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38903-6A81-4911-9410-F264BB73E69C}">
  <dimension ref="A1:Z40"/>
  <sheetViews>
    <sheetView topLeftCell="A4" zoomScale="90" zoomScaleNormal="90" workbookViewId="0">
      <selection sqref="A1:Z40"/>
    </sheetView>
  </sheetViews>
  <sheetFormatPr defaultRowHeight="15" x14ac:dyDescent="0.25"/>
  <sheetData>
    <row r="1" spans="1:26" x14ac:dyDescent="0.25">
      <c r="A1" s="46"/>
      <c r="B1" s="46"/>
      <c r="C1" s="46"/>
      <c r="D1" s="46"/>
      <c r="E1" s="46"/>
      <c r="F1" s="46"/>
      <c r="G1" s="46"/>
      <c r="H1" s="46"/>
      <c r="I1" s="46"/>
      <c r="J1" s="46"/>
      <c r="K1" s="46"/>
      <c r="L1" s="46"/>
      <c r="M1" s="46"/>
      <c r="N1" s="46"/>
      <c r="O1" s="46"/>
      <c r="P1" s="46"/>
      <c r="Q1" s="46"/>
      <c r="R1" s="46"/>
      <c r="S1" s="46"/>
      <c r="T1" s="46"/>
      <c r="U1" s="46"/>
      <c r="V1" s="46"/>
      <c r="W1" s="46"/>
      <c r="X1" s="46"/>
      <c r="Y1" s="46"/>
      <c r="Z1" s="46"/>
    </row>
    <row r="2" spans="1:26" x14ac:dyDescent="0.25">
      <c r="A2" s="46"/>
      <c r="B2" s="46"/>
      <c r="C2" s="46"/>
      <c r="D2" s="46"/>
      <c r="E2" s="46"/>
      <c r="F2" s="46"/>
      <c r="G2" s="46"/>
      <c r="H2" s="46"/>
      <c r="I2" s="46"/>
      <c r="J2" s="46"/>
      <c r="K2" s="46"/>
      <c r="L2" s="46"/>
      <c r="M2" s="46"/>
      <c r="N2" s="46"/>
      <c r="O2" s="46"/>
      <c r="P2" s="46"/>
      <c r="Q2" s="46"/>
      <c r="R2" s="46"/>
      <c r="S2" s="46"/>
      <c r="T2" s="46"/>
      <c r="U2" s="46"/>
      <c r="V2" s="46"/>
      <c r="W2" s="46"/>
      <c r="X2" s="46"/>
      <c r="Y2" s="46"/>
      <c r="Z2" s="46"/>
    </row>
    <row r="3" spans="1:26" x14ac:dyDescent="0.25">
      <c r="A3" s="46"/>
      <c r="B3" s="46"/>
      <c r="C3" s="46"/>
      <c r="D3" s="46"/>
      <c r="E3" s="46"/>
      <c r="F3" s="46"/>
      <c r="G3" s="46"/>
      <c r="H3" s="46"/>
      <c r="I3" s="46"/>
      <c r="J3" s="46"/>
      <c r="K3" s="46"/>
      <c r="L3" s="46"/>
      <c r="M3" s="46"/>
      <c r="N3" s="46"/>
      <c r="O3" s="46"/>
      <c r="P3" s="46"/>
      <c r="Q3" s="46"/>
      <c r="R3" s="46"/>
      <c r="S3" s="46"/>
      <c r="T3" s="46"/>
      <c r="U3" s="46"/>
      <c r="V3" s="46"/>
      <c r="W3" s="46"/>
      <c r="X3" s="46"/>
      <c r="Y3" s="46"/>
      <c r="Z3" s="46"/>
    </row>
    <row r="4" spans="1:26" x14ac:dyDescent="0.25">
      <c r="A4" s="46"/>
      <c r="B4" s="46"/>
      <c r="C4" s="46"/>
      <c r="D4" s="46"/>
      <c r="E4" s="46"/>
      <c r="F4" s="46"/>
      <c r="G4" s="46"/>
      <c r="H4" s="46"/>
      <c r="I4" s="46"/>
      <c r="J4" s="46"/>
      <c r="K4" s="46"/>
      <c r="L4" s="46"/>
      <c r="M4" s="46"/>
      <c r="N4" s="46"/>
      <c r="O4" s="46"/>
      <c r="P4" s="46"/>
      <c r="Q4" s="46"/>
      <c r="R4" s="46"/>
      <c r="S4" s="46"/>
      <c r="T4" s="46"/>
      <c r="U4" s="46"/>
      <c r="V4" s="46"/>
      <c r="W4" s="46"/>
      <c r="X4" s="46"/>
      <c r="Y4" s="46"/>
      <c r="Z4" s="46"/>
    </row>
    <row r="5" spans="1:26" x14ac:dyDescent="0.25">
      <c r="A5" s="46"/>
      <c r="B5" s="46"/>
      <c r="C5" s="46"/>
      <c r="D5" s="46"/>
      <c r="E5" s="46"/>
      <c r="F5" s="46"/>
      <c r="G5" s="46"/>
      <c r="H5" s="46"/>
      <c r="I5" s="46"/>
      <c r="J5" s="46"/>
      <c r="K5" s="46"/>
      <c r="L5" s="46"/>
      <c r="M5" s="46"/>
      <c r="N5" s="46"/>
      <c r="O5" s="46"/>
      <c r="P5" s="46"/>
      <c r="Q5" s="46"/>
      <c r="R5" s="46"/>
      <c r="S5" s="46"/>
      <c r="T5" s="46"/>
      <c r="U5" s="46"/>
      <c r="V5" s="46"/>
      <c r="W5" s="46"/>
      <c r="X5" s="46"/>
      <c r="Y5" s="46"/>
      <c r="Z5" s="46"/>
    </row>
    <row r="6" spans="1:26" x14ac:dyDescent="0.25">
      <c r="A6" s="46"/>
      <c r="B6" s="46"/>
      <c r="C6" s="46"/>
      <c r="D6" s="46"/>
      <c r="E6" s="46"/>
      <c r="F6" s="46"/>
      <c r="G6" s="46"/>
      <c r="H6" s="46"/>
      <c r="I6" s="46"/>
      <c r="J6" s="46"/>
      <c r="K6" s="46"/>
      <c r="L6" s="46"/>
      <c r="M6" s="46"/>
      <c r="N6" s="46"/>
      <c r="O6" s="46"/>
      <c r="P6" s="46"/>
      <c r="Q6" s="46"/>
      <c r="R6" s="46"/>
      <c r="S6" s="46"/>
      <c r="T6" s="46"/>
      <c r="U6" s="46"/>
      <c r="V6" s="46"/>
      <c r="W6" s="46"/>
      <c r="X6" s="46"/>
      <c r="Y6" s="46"/>
      <c r="Z6" s="46"/>
    </row>
    <row r="7" spans="1:26" x14ac:dyDescent="0.25">
      <c r="A7" s="46"/>
      <c r="B7" s="46"/>
      <c r="C7" s="46"/>
      <c r="D7" s="46"/>
      <c r="E7" s="46"/>
      <c r="F7" s="46"/>
      <c r="G7" s="46"/>
      <c r="H7" s="46"/>
      <c r="I7" s="46"/>
      <c r="J7" s="46"/>
      <c r="K7" s="46"/>
      <c r="L7" s="46"/>
      <c r="M7" s="46"/>
      <c r="N7" s="46"/>
      <c r="O7" s="46"/>
      <c r="P7" s="46"/>
      <c r="Q7" s="46"/>
      <c r="R7" s="46"/>
      <c r="S7" s="46"/>
      <c r="T7" s="46"/>
      <c r="U7" s="46"/>
      <c r="V7" s="46"/>
      <c r="W7" s="46"/>
      <c r="X7" s="46"/>
      <c r="Y7" s="46"/>
      <c r="Z7" s="46"/>
    </row>
    <row r="8" spans="1:26" x14ac:dyDescent="0.25">
      <c r="A8" s="46"/>
      <c r="B8" s="46"/>
      <c r="C8" s="46"/>
      <c r="D8" s="46"/>
      <c r="E8" s="46"/>
      <c r="F8" s="46"/>
      <c r="G8" s="46"/>
      <c r="H8" s="46"/>
      <c r="I8" s="46"/>
      <c r="J8" s="46"/>
      <c r="K8" s="46"/>
      <c r="L8" s="46"/>
      <c r="M8" s="46"/>
      <c r="N8" s="46"/>
      <c r="O8" s="46"/>
      <c r="P8" s="46"/>
      <c r="Q8" s="46"/>
      <c r="R8" s="46"/>
      <c r="S8" s="46"/>
      <c r="T8" s="46"/>
      <c r="U8" s="46"/>
      <c r="V8" s="46"/>
      <c r="W8" s="46"/>
      <c r="X8" s="46"/>
      <c r="Y8" s="46"/>
      <c r="Z8" s="46"/>
    </row>
    <row r="9" spans="1:26" x14ac:dyDescent="0.25">
      <c r="A9" s="46"/>
      <c r="B9" s="46"/>
      <c r="C9" s="46"/>
      <c r="D9" s="46"/>
      <c r="E9" s="46"/>
      <c r="F9" s="46"/>
      <c r="G9" s="46"/>
      <c r="H9" s="46"/>
      <c r="I9" s="46"/>
      <c r="J9" s="46"/>
      <c r="K9" s="46"/>
      <c r="L9" s="46"/>
      <c r="M9" s="46"/>
      <c r="N9" s="46"/>
      <c r="O9" s="46"/>
      <c r="P9" s="46"/>
      <c r="Q9" s="46"/>
      <c r="R9" s="46"/>
      <c r="S9" s="46"/>
      <c r="T9" s="46"/>
      <c r="U9" s="46"/>
      <c r="V9" s="46"/>
      <c r="W9" s="46"/>
      <c r="X9" s="46"/>
      <c r="Y9" s="46"/>
      <c r="Z9" s="46"/>
    </row>
    <row r="10" spans="1:26" x14ac:dyDescent="0.25">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spans="1:26" x14ac:dyDescent="0.25">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spans="1:26" x14ac:dyDescent="0.25">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x14ac:dyDescent="0.25">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x14ac:dyDescent="0.25">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x14ac:dyDescent="0.2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x14ac:dyDescent="0.25">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x14ac:dyDescent="0.25">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x14ac:dyDescent="0.25">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x14ac:dyDescent="0.25">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x14ac:dyDescent="0.25">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x14ac:dyDescent="0.25">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x14ac:dyDescent="0.25">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x14ac:dyDescent="0.25">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x14ac:dyDescent="0.25">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x14ac:dyDescent="0.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x14ac:dyDescent="0.25">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x14ac:dyDescent="0.25">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x14ac:dyDescent="0.25">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x14ac:dyDescent="0.25">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x14ac:dyDescent="0.25">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x14ac:dyDescent="0.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x14ac:dyDescent="0.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x14ac:dyDescent="0.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x14ac:dyDescent="0.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x14ac:dyDescent="0.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x14ac:dyDescent="0.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x14ac:dyDescent="0.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x14ac:dyDescent="0.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x14ac:dyDescent="0.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x14ac:dyDescent="0.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sheetData>
  <mergeCells count="1">
    <mergeCell ref="A1:Z4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233E-20A4-461C-B7BB-3A5B95CA8905}">
  <dimension ref="A1:Z40"/>
  <sheetViews>
    <sheetView topLeftCell="A2" zoomScale="92" zoomScaleNormal="92" workbookViewId="0">
      <selection sqref="A1:Z40"/>
    </sheetView>
  </sheetViews>
  <sheetFormatPr defaultRowHeight="15" x14ac:dyDescent="0.25"/>
  <sheetData>
    <row r="1" spans="1:26" x14ac:dyDescent="0.25">
      <c r="A1" s="47"/>
      <c r="B1" s="47"/>
      <c r="C1" s="47"/>
      <c r="D1" s="47"/>
      <c r="E1" s="47"/>
      <c r="F1" s="47"/>
      <c r="G1" s="47"/>
      <c r="H1" s="47"/>
      <c r="I1" s="47"/>
      <c r="J1" s="47"/>
      <c r="K1" s="47"/>
      <c r="L1" s="47"/>
      <c r="M1" s="47"/>
      <c r="N1" s="47"/>
      <c r="O1" s="47"/>
      <c r="P1" s="47"/>
      <c r="Q1" s="47"/>
      <c r="R1" s="47"/>
      <c r="S1" s="47"/>
      <c r="T1" s="47"/>
      <c r="U1" s="47"/>
      <c r="V1" s="47"/>
      <c r="W1" s="47"/>
      <c r="X1" s="47"/>
      <c r="Y1" s="47"/>
      <c r="Z1" s="47"/>
    </row>
    <row r="2" spans="1:26" x14ac:dyDescent="0.25">
      <c r="A2" s="47"/>
      <c r="B2" s="47"/>
      <c r="C2" s="47"/>
      <c r="D2" s="47"/>
      <c r="E2" s="47"/>
      <c r="F2" s="47"/>
      <c r="G2" s="47"/>
      <c r="H2" s="47"/>
      <c r="I2" s="47"/>
      <c r="J2" s="47"/>
      <c r="K2" s="47"/>
      <c r="L2" s="47"/>
      <c r="M2" s="47"/>
      <c r="N2" s="47"/>
      <c r="O2" s="47"/>
      <c r="P2" s="47"/>
      <c r="Q2" s="47"/>
      <c r="R2" s="47"/>
      <c r="S2" s="47"/>
      <c r="T2" s="47"/>
      <c r="U2" s="47"/>
      <c r="V2" s="47"/>
      <c r="W2" s="47"/>
      <c r="X2" s="47"/>
      <c r="Y2" s="47"/>
      <c r="Z2" s="47"/>
    </row>
    <row r="3" spans="1:26" x14ac:dyDescent="0.25">
      <c r="A3" s="47"/>
      <c r="B3" s="47"/>
      <c r="C3" s="47"/>
      <c r="D3" s="47"/>
      <c r="E3" s="47"/>
      <c r="F3" s="47"/>
      <c r="G3" s="47"/>
      <c r="H3" s="47"/>
      <c r="I3" s="47"/>
      <c r="J3" s="47"/>
      <c r="K3" s="47"/>
      <c r="L3" s="47"/>
      <c r="M3" s="47"/>
      <c r="N3" s="47"/>
      <c r="O3" s="47"/>
      <c r="P3" s="47"/>
      <c r="Q3" s="47"/>
      <c r="R3" s="47"/>
      <c r="S3" s="47"/>
      <c r="T3" s="47"/>
      <c r="U3" s="47"/>
      <c r="V3" s="47"/>
      <c r="W3" s="47"/>
      <c r="X3" s="47"/>
      <c r="Y3" s="47"/>
      <c r="Z3" s="47"/>
    </row>
    <row r="4" spans="1:26" x14ac:dyDescent="0.25">
      <c r="A4" s="47"/>
      <c r="B4" s="47"/>
      <c r="C4" s="47"/>
      <c r="D4" s="47"/>
      <c r="E4" s="47"/>
      <c r="F4" s="47"/>
      <c r="G4" s="47"/>
      <c r="H4" s="47"/>
      <c r="I4" s="47"/>
      <c r="J4" s="47"/>
      <c r="K4" s="47"/>
      <c r="L4" s="47"/>
      <c r="M4" s="47"/>
      <c r="N4" s="47"/>
      <c r="O4" s="47"/>
      <c r="P4" s="47"/>
      <c r="Q4" s="47"/>
      <c r="R4" s="47"/>
      <c r="S4" s="47"/>
      <c r="T4" s="47"/>
      <c r="U4" s="47"/>
      <c r="V4" s="47"/>
      <c r="W4" s="47"/>
      <c r="X4" s="47"/>
      <c r="Y4" s="47"/>
      <c r="Z4" s="47"/>
    </row>
    <row r="5" spans="1:26" x14ac:dyDescent="0.25">
      <c r="A5" s="47"/>
      <c r="B5" s="47"/>
      <c r="C5" s="47"/>
      <c r="D5" s="47"/>
      <c r="E5" s="47"/>
      <c r="F5" s="47"/>
      <c r="G5" s="47"/>
      <c r="H5" s="47"/>
      <c r="I5" s="47"/>
      <c r="J5" s="47"/>
      <c r="K5" s="47"/>
      <c r="L5" s="47"/>
      <c r="M5" s="47"/>
      <c r="N5" s="47"/>
      <c r="O5" s="47"/>
      <c r="P5" s="47"/>
      <c r="Q5" s="47"/>
      <c r="R5" s="47"/>
      <c r="S5" s="47"/>
      <c r="T5" s="47"/>
      <c r="U5" s="47"/>
      <c r="V5" s="47"/>
      <c r="W5" s="47"/>
      <c r="X5" s="47"/>
      <c r="Y5" s="47"/>
      <c r="Z5" s="47"/>
    </row>
    <row r="6" spans="1:26" x14ac:dyDescent="0.25">
      <c r="A6" s="47"/>
      <c r="B6" s="47"/>
      <c r="C6" s="47"/>
      <c r="D6" s="47"/>
      <c r="E6" s="47"/>
      <c r="F6" s="47"/>
      <c r="G6" s="47"/>
      <c r="H6" s="47"/>
      <c r="I6" s="47"/>
      <c r="J6" s="47"/>
      <c r="K6" s="47"/>
      <c r="L6" s="47"/>
      <c r="M6" s="47"/>
      <c r="N6" s="47"/>
      <c r="O6" s="47"/>
      <c r="P6" s="47"/>
      <c r="Q6" s="47"/>
      <c r="R6" s="47"/>
      <c r="S6" s="47"/>
      <c r="T6" s="47"/>
      <c r="U6" s="47"/>
      <c r="V6" s="47"/>
      <c r="W6" s="47"/>
      <c r="X6" s="47"/>
      <c r="Y6" s="47"/>
      <c r="Z6" s="47"/>
    </row>
    <row r="7" spans="1:26" x14ac:dyDescent="0.25">
      <c r="A7" s="47"/>
      <c r="B7" s="47"/>
      <c r="C7" s="47"/>
      <c r="D7" s="47"/>
      <c r="E7" s="47"/>
      <c r="F7" s="47"/>
      <c r="G7" s="47"/>
      <c r="H7" s="47"/>
      <c r="I7" s="47"/>
      <c r="J7" s="47"/>
      <c r="K7" s="47"/>
      <c r="L7" s="47"/>
      <c r="M7" s="47"/>
      <c r="N7" s="47"/>
      <c r="O7" s="47"/>
      <c r="P7" s="47"/>
      <c r="Q7" s="47"/>
      <c r="R7" s="47"/>
      <c r="S7" s="47"/>
      <c r="T7" s="47"/>
      <c r="U7" s="47"/>
      <c r="V7" s="47"/>
      <c r="W7" s="47"/>
      <c r="X7" s="47"/>
      <c r="Y7" s="47"/>
      <c r="Z7" s="47"/>
    </row>
    <row r="8" spans="1:26" x14ac:dyDescent="0.25">
      <c r="A8" s="47"/>
      <c r="B8" s="47"/>
      <c r="C8" s="47"/>
      <c r="D8" s="47"/>
      <c r="E8" s="47"/>
      <c r="F8" s="47"/>
      <c r="G8" s="47"/>
      <c r="H8" s="47"/>
      <c r="I8" s="47"/>
      <c r="J8" s="47"/>
      <c r="K8" s="47"/>
      <c r="L8" s="47"/>
      <c r="M8" s="47"/>
      <c r="N8" s="47"/>
      <c r="O8" s="47"/>
      <c r="P8" s="47"/>
      <c r="Q8" s="47"/>
      <c r="R8" s="47"/>
      <c r="S8" s="47"/>
      <c r="T8" s="47"/>
      <c r="U8" s="47"/>
      <c r="V8" s="47"/>
      <c r="W8" s="47"/>
      <c r="X8" s="47"/>
      <c r="Y8" s="47"/>
      <c r="Z8" s="47"/>
    </row>
    <row r="9" spans="1:26" x14ac:dyDescent="0.25">
      <c r="A9" s="47"/>
      <c r="B9" s="47"/>
      <c r="C9" s="47"/>
      <c r="D9" s="47"/>
      <c r="E9" s="47"/>
      <c r="F9" s="47"/>
      <c r="G9" s="47"/>
      <c r="H9" s="47"/>
      <c r="I9" s="47"/>
      <c r="J9" s="47"/>
      <c r="K9" s="47"/>
      <c r="L9" s="47"/>
      <c r="M9" s="47"/>
      <c r="N9" s="47"/>
      <c r="O9" s="47"/>
      <c r="P9" s="47"/>
      <c r="Q9" s="47"/>
      <c r="R9" s="47"/>
      <c r="S9" s="47"/>
      <c r="T9" s="47"/>
      <c r="U9" s="47"/>
      <c r="V9" s="47"/>
      <c r="W9" s="47"/>
      <c r="X9" s="47"/>
      <c r="Y9" s="47"/>
      <c r="Z9" s="47"/>
    </row>
    <row r="10" spans="1:26" x14ac:dyDescent="0.25">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spans="1:26" x14ac:dyDescent="0.25">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6" x14ac:dyDescent="0.25">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6" x14ac:dyDescent="0.25">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6" x14ac:dyDescent="0.25">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6" x14ac:dyDescent="0.25">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6" x14ac:dyDescent="0.25">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x14ac:dyDescent="0.25">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x14ac:dyDescent="0.25">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x14ac:dyDescent="0.25">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x14ac:dyDescent="0.25">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x14ac:dyDescent="0.25">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x14ac:dyDescent="0.25">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x14ac:dyDescent="0.25">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x14ac:dyDescent="0.25">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x14ac:dyDescent="0.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x14ac:dyDescent="0.25">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x14ac:dyDescent="0.25">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x14ac:dyDescent="0.25">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x14ac:dyDescent="0.25">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x14ac:dyDescent="0.25">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x14ac:dyDescent="0.25">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x14ac:dyDescent="0.25">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x14ac:dyDescent="0.25">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x14ac:dyDescent="0.25">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x14ac:dyDescent="0.2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x14ac:dyDescent="0.25">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x14ac:dyDescent="0.25">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x14ac:dyDescent="0.25">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x14ac:dyDescent="0.25">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x14ac:dyDescent="0.25">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sheetData>
  <mergeCells count="1">
    <mergeCell ref="A1:Z4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8B198D-CF45-4485-B506-1343E41A17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Supply_Chain_Data</vt:lpstr>
      <vt:lpstr>Supply_Chain_Data_Modified</vt:lpstr>
      <vt:lpstr>Product_Pivot</vt:lpstr>
      <vt:lpstr>Inventory_&amp;_Orders_Pivot</vt:lpstr>
      <vt:lpstr>Supplier_&amp;_Manufacturing_Pivot</vt:lpstr>
      <vt:lpstr>Supply_Chain_Pivot</vt:lpstr>
      <vt:lpstr>Product_Dashboard</vt:lpstr>
      <vt:lpstr>Inventory_Orders_Dashboard</vt:lpstr>
      <vt:lpstr>Supplier_Manufacturing_Dashboar</vt:lpstr>
      <vt:lpstr>Supply_Chain_Summary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 Ahmed Shaikh</dc:creator>
  <cp:lastModifiedBy>Saad Ahmed Shaikh</cp:lastModifiedBy>
  <dcterms:created xsi:type="dcterms:W3CDTF">2025-12-05T14:37:23Z</dcterms:created>
  <dcterms:modified xsi:type="dcterms:W3CDTF">2025-12-22T10:17:17Z</dcterms:modified>
</cp:coreProperties>
</file>